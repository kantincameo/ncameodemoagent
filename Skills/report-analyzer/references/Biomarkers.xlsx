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markers" sheetId="1" r:id="rId5"/>
  </sheets>
  <definedNames/>
  <calcPr/>
</workbook>
</file>

<file path=xl/sharedStrings.xml><?xml version="1.0" encoding="utf-8"?>
<sst xmlns="http://schemas.openxmlformats.org/spreadsheetml/2006/main" count="874" uniqueCount="318">
  <si>
    <t>Biomarkers</t>
  </si>
  <si>
    <t>MinAge</t>
  </si>
  <si>
    <t>MaxAge</t>
  </si>
  <si>
    <t>Units</t>
  </si>
  <si>
    <t>Gender</t>
  </si>
  <si>
    <t>Minimum</t>
  </si>
  <si>
    <t>Maximum</t>
  </si>
  <si>
    <t>Group</t>
  </si>
  <si>
    <t>High</t>
  </si>
  <si>
    <t>Low</t>
  </si>
  <si>
    <t>Severity Score (1 = mild, 5 = highly significant)</t>
  </si>
  <si>
    <t>Example User Value</t>
  </si>
  <si>
    <t>Deviation Multiplier</t>
  </si>
  <si>
    <t>Impact Score</t>
  </si>
  <si>
    <t>Glucose</t>
  </si>
  <si>
    <t>(mg/dL)</t>
  </si>
  <si>
    <t>Both</t>
  </si>
  <si>
    <t xml:space="preserve">Blood Sugar </t>
  </si>
  <si>
    <t>Increased in diabetes/insulin resistance and with a thiamine need.</t>
  </si>
  <si>
    <t>Decreased in hypoglycemia.</t>
  </si>
  <si>
    <t>Hemoglobin A1c</t>
  </si>
  <si>
    <t>(%)</t>
  </si>
  <si>
    <t>Cholesterol</t>
  </si>
  <si>
    <t xml:space="preserve">Insulin Resistance and Inflammation </t>
  </si>
  <si>
    <t>Increased in diabetes type 2, hyperlipoproteinemia, thyroid hypofunction, consumption of excess carbohydrates, alcoholism, and dysinsulinism.</t>
  </si>
  <si>
    <t>Decreased in glandular hyperfunction, vegetarian diets, autoimmune conditions, and with free radical pathology.</t>
  </si>
  <si>
    <t>Triglycerides</t>
  </si>
  <si>
    <t>Elevated in insulin insensitivity, obesity, thyroid underactivity, alcohol consumption, high-carbohydrate diet, exogenous unopposed estrogen, OCP, and pregnancy.</t>
  </si>
  <si>
    <t>Low fasting triglycerides, along with increased levels of free fatty acids, may indicate autoimmune disease or immune system hyperactivity.</t>
  </si>
  <si>
    <t>HDL</t>
  </si>
  <si>
    <t>Increased in individuals with high cardio exercise amounts, also can represent inflammation as the HDL comes up to protect the body</t>
  </si>
  <si>
    <t>Decreased in obesity, diabetes, diets high in carbohydrates, and in those who lack exercise.</t>
  </si>
  <si>
    <t xml:space="preserve">LDL </t>
  </si>
  <si>
    <t>Increased in diabetes type 2, excess carbohydrate intake, alcoholism, dysinsulinism, hyperlipoproteinemia, and thyroid hypofunction.</t>
  </si>
  <si>
    <t>-</t>
  </si>
  <si>
    <t>Cholesterol/HDL Ratio</t>
  </si>
  <si>
    <t>Above 3.1 is a risk factor for cardiovascular (CV) disease, especially when accompanied by inflammatory markers.</t>
  </si>
  <si>
    <t>Below 3.1 indicates reduced risk for CV disease; however, lowered cholesterol or elevated HDL may indicate inflammatory/free radical disease or autoimmune conditions.</t>
  </si>
  <si>
    <t xml:space="preserve">CRP (High Sensitivity) </t>
  </si>
  <si>
    <t>(mg/L)</t>
  </si>
  <si>
    <t>Increased with high inflammation</t>
  </si>
  <si>
    <t>Homocysteine</t>
  </si>
  <si>
    <t>(Âµmol/L)</t>
  </si>
  <si>
    <t>Increased with too much of this amino acid in the body. Usually a cardiovascular risk and can signify a need for B vitamins</t>
  </si>
  <si>
    <t>Thyroid Peroxidase (TPO), Ab</t>
  </si>
  <si>
    <t>(IU/mL)</t>
  </si>
  <si>
    <t>Bodies immune system is causing inflammation of the thyroid</t>
  </si>
  <si>
    <t>Thyroglobulin, Ab</t>
  </si>
  <si>
    <t>TIBC</t>
  </si>
  <si>
    <t>(Âµg/dL)</t>
  </si>
  <si>
    <t>Iron Check</t>
  </si>
  <si>
    <t>Increased in iron anemia and with internal bleeding.</t>
  </si>
  <si>
    <t>Decreased in hemochromatosis.</t>
  </si>
  <si>
    <t>UIBC</t>
  </si>
  <si>
    <t>Serum Iron</t>
  </si>
  <si>
    <t>Increased in hemochromatosis, liver dysfunction, or with supplemental or exogenous iron.</t>
  </si>
  <si>
    <t>Decreased in iron anemia with internal bleedings; reticulocytes should be checked.</t>
  </si>
  <si>
    <t>Iron Saturation</t>
  </si>
  <si>
    <t>Points to iron overload</t>
  </si>
  <si>
    <t>Points to iron deficiency</t>
  </si>
  <si>
    <t>Ferritin (Premenopause)</t>
  </si>
  <si>
    <t>(ng/mL)</t>
  </si>
  <si>
    <t>Increased in hemochromatosis.</t>
  </si>
  <si>
    <t>Decreased in iron anemia.</t>
  </si>
  <si>
    <t>Ferritin (Postmenopause)</t>
  </si>
  <si>
    <t>Ferritin</t>
  </si>
  <si>
    <t>Transferrin</t>
  </si>
  <si>
    <t>Increased with iron anemia, anemia of chronic disease, and anemia secondary to liver disease.</t>
  </si>
  <si>
    <t>Decreased with sideroblastic and hemolytic anemias and hemochromatosis.</t>
  </si>
  <si>
    <t>Fibrinogen Activity</t>
  </si>
  <si>
    <t>Signifies blood clots more</t>
  </si>
  <si>
    <t xml:space="preserve">Signifies that blood doesn't clot as much </t>
  </si>
  <si>
    <t>WBC – White Blood Cell Count</t>
  </si>
  <si>
    <t>CBC with Differential</t>
  </si>
  <si>
    <t>Increased in immune reactions against infections, foreign invasion, or allergic states. May also rise due to stress, eating, pregnancy, gender, and age-related factors. Acute infections associated with WBC &gt;8.0.</t>
  </si>
  <si>
    <t>Decreased in some bacterial infections and some chronic illnesses.</t>
  </si>
  <si>
    <t>RBC – Red Blood Cell Count</t>
  </si>
  <si>
    <t>Female</t>
  </si>
  <si>
    <t>Increased with altitude, polycythemia, dehydration, emphysema, and hemochromatosis.</t>
  </si>
  <si>
    <t>Decreased with iron anemia and in women with regular menses.</t>
  </si>
  <si>
    <t>Male</t>
  </si>
  <si>
    <t>HGB – Hemoglobin</t>
  </si>
  <si>
    <t>(g/dL)</t>
  </si>
  <si>
    <t>Signifies possible dehydration, high altitude living or a condition that increases RBC</t>
  </si>
  <si>
    <t>Usually means anemia - can cause fatigue, shortness of breath or weakness</t>
  </si>
  <si>
    <t>HCT – Hematocrit</t>
  </si>
  <si>
    <t>Possible dehydration or other conditions that increase RBC</t>
  </si>
  <si>
    <t>Possible anemia or blood loss</t>
  </si>
  <si>
    <t>MCV – Mean Corpuscular Volume</t>
  </si>
  <si>
    <t>(fL)</t>
  </si>
  <si>
    <t>Increased with a vitamin B12 and/or folic acid need.</t>
  </si>
  <si>
    <t>Decreased with iron anemia and a vitamin B6 need.</t>
  </si>
  <si>
    <t>MCH – Mean Corpuscular Hemoglobin</t>
  </si>
  <si>
    <t>(pg)</t>
  </si>
  <si>
    <t>Increased when there is a vitamin B12 and/or folic acid need.</t>
  </si>
  <si>
    <t>Decreased in iron anemia and with a vitamin B6 need.</t>
  </si>
  <si>
    <t>MCHC – Mean Corpuscular Hemoglobin Concentration</t>
  </si>
  <si>
    <t>Increased with a vitamin B12 and folic acid need.</t>
  </si>
  <si>
    <t>RDW – Red Cell Distribution Width</t>
  </si>
  <si>
    <t>Increased with vitamin B12 anemia and iron anemia.</t>
  </si>
  <si>
    <t>Platelets</t>
  </si>
  <si>
    <t>(K)</t>
  </si>
  <si>
    <t>Increased in polycythemia and free radical pathology.</t>
  </si>
  <si>
    <t>Decreased in leukemia and immune dysfunction.</t>
  </si>
  <si>
    <t>Neutrophils</t>
  </si>
  <si>
    <t>Increased in acute, viral, and bacterial infections.</t>
  </si>
  <si>
    <t>Decreased in viral infections.</t>
  </si>
  <si>
    <t>Lymphocytes</t>
  </si>
  <si>
    <t>Increased in viral infections.</t>
  </si>
  <si>
    <t>Decreased in bacterial infections and free radical pathology.</t>
  </si>
  <si>
    <t>Monocytes</t>
  </si>
  <si>
    <t>Increased in inflammation, recovery from infection, with parasites, and prostate hypertrophy.</t>
  </si>
  <si>
    <t>Eosinophils</t>
  </si>
  <si>
    <t>Increased with parasites and allergy sensitivities.</t>
  </si>
  <si>
    <t>Basophils</t>
  </si>
  <si>
    <t>Increased in inflammation and with parasites.</t>
  </si>
  <si>
    <t>Uric Acid</t>
  </si>
  <si>
    <t>CMP</t>
  </si>
  <si>
    <t>Increased in gout, arteriosclerosis and RA</t>
  </si>
  <si>
    <t>Decreased with B12 vitamin need, molybdenum and heavy metals</t>
  </si>
  <si>
    <t>BUN</t>
  </si>
  <si>
    <t>Increased with dehydration, renal dysfunction and HCl need</t>
  </si>
  <si>
    <t>Decreased with liver dysfunction or low protein intake/low absorption</t>
  </si>
  <si>
    <t>Creatinine</t>
  </si>
  <si>
    <t>Increased with dehydration, renal dysfunction, prostate hypertrophy and uterine problems.</t>
  </si>
  <si>
    <t>Decreased in pregnancy and bone growth</t>
  </si>
  <si>
    <t>eGFR</t>
  </si>
  <si>
    <t>(mL/min/1.73)</t>
  </si>
  <si>
    <t>Normal, especially in healthy young people</t>
  </si>
  <si>
    <t>Can signal reduced kidney function, a value below 60 may need further evaluation</t>
  </si>
  <si>
    <t>BUN/Creatinine Ratio</t>
  </si>
  <si>
    <t>Dehydration, GI bleeding, kidney strain</t>
  </si>
  <si>
    <t>Possible liver disease or low protein intake</t>
  </si>
  <si>
    <t>Sodium</t>
  </si>
  <si>
    <t>(mmol/L)</t>
  </si>
  <si>
    <t>Increased with dehydration, renal dysfunction and with water softeners</t>
  </si>
  <si>
    <t>Decreased with Adrenal hypofunction and in low-salt diets</t>
  </si>
  <si>
    <t>Potassium</t>
  </si>
  <si>
    <t>Increased with adrenal hypofunction, renal dysfunction, tissue destruction and dehydration</t>
  </si>
  <si>
    <t>Decreased with RT-3 diuretic use, adrenal hyperfunction, renal dysfunction and in diabetes</t>
  </si>
  <si>
    <t>Chloride</t>
  </si>
  <si>
    <t>Increased with adrenal hyperfunction, excess salt or aspirin use and renal dysfunction</t>
  </si>
  <si>
    <t>Decreased in adrenal hypofunction, B1 vitamin deficiency and with renal dysfunction</t>
  </si>
  <si>
    <t>Carbon Dioxide (CO₂ / Bicarbonate)</t>
  </si>
  <si>
    <t>Increased with alkalosis</t>
  </si>
  <si>
    <t>Decreased with acidosis</t>
  </si>
  <si>
    <t>Anion Gap</t>
  </si>
  <si>
    <t>Increased with thiamine need and in metabolic acidosis</t>
  </si>
  <si>
    <t>Calcium</t>
  </si>
  <si>
    <t>Increased with thyroid or parathyroid hyperfunction and excessive Vit D usage</t>
  </si>
  <si>
    <t xml:space="preserve">Decreased in pregnancy, osteoporosis and thyroid/parathyroid hypofunction </t>
  </si>
  <si>
    <t>Increased in bone fractures, bone growth in children, renal dysfunction and parathyroid hypofunction</t>
  </si>
  <si>
    <t>Decreased with HCl need and protein/amino acid need</t>
  </si>
  <si>
    <t>Magnesium</t>
  </si>
  <si>
    <t>Increased in adrenal hypofunction, thyroid hypofunction, renal dysfunction and excessive magnesium supplement use</t>
  </si>
  <si>
    <t xml:space="preserve">Decreased with lack of magnesium in daily diet </t>
  </si>
  <si>
    <t>Total Protein</t>
  </si>
  <si>
    <t>Increased with HCl need, amino acid need and protein need</t>
  </si>
  <si>
    <t>Decreased with HCl need, amino acid need and protein need</t>
  </si>
  <si>
    <t>Albumin</t>
  </si>
  <si>
    <t>Increased with dehydration</t>
  </si>
  <si>
    <t>Decreased with Vit C need, free radical pathology, liver and bile dysfunction</t>
  </si>
  <si>
    <t>Globulin</t>
  </si>
  <si>
    <t>Increased with HCl need</t>
  </si>
  <si>
    <t xml:space="preserve">Decreased with liver dysfunction, HCl need and digestive inflammation </t>
  </si>
  <si>
    <t>A/G Ratio</t>
  </si>
  <si>
    <t>Possible immunodeficiency or steroid use</t>
  </si>
  <si>
    <t>Chronic inflammation, liver or kidney issues</t>
  </si>
  <si>
    <t>Bilirubin (direct)</t>
  </si>
  <si>
    <t>Increased with liver dysfunction and spleen dysfunction</t>
  </si>
  <si>
    <t>Total Bilirubin</t>
  </si>
  <si>
    <t>Suggestive of liver or bile duct issues or increased RBC breakdown</t>
  </si>
  <si>
    <t>Alkaline Phosphatase (ALP)</t>
  </si>
  <si>
    <t>(IU/L)</t>
  </si>
  <si>
    <t>Increased with bone growth, liver dysfunction, and gastric inflammation.</t>
  </si>
  <si>
    <t>Decreased with a vitamin C need and a zinc need.</t>
  </si>
  <si>
    <t>LDH</t>
  </si>
  <si>
    <t>Increased with liver dysfunction and cardiac stress.</t>
  </si>
  <si>
    <t>Decreased in reactive hypoglycemia.</t>
  </si>
  <si>
    <t>SGOT (AST)</t>
  </si>
  <si>
    <t>Sign of liver issue, muscle injury but often check with ALT  to evaluate liver health</t>
  </si>
  <si>
    <t>SGPT (ALT)</t>
  </si>
  <si>
    <t>GGTP – Gamma-Glutamyl Transferase</t>
  </si>
  <si>
    <t>Increased in alcoholism, biliary stasis, and biliary obstruction.</t>
  </si>
  <si>
    <t>Decreased with a vitamin B6 need.</t>
  </si>
  <si>
    <t>EPA+DPA+DHA</t>
  </si>
  <si>
    <t>(% by weight)</t>
  </si>
  <si>
    <t>Omega Check</t>
  </si>
  <si>
    <t>Outside of range for optimal relative risk for sudden cardiac event. Optimal range is &gt; 5.4% blood level of long chain fatty acids.</t>
  </si>
  <si>
    <t>Arachidonic Acid / EPA Ratio</t>
  </si>
  <si>
    <t>Higher inflammation risk- common with high processed food or seed oil intake</t>
  </si>
  <si>
    <t>Omega-6/Omega-3 Ratio</t>
  </si>
  <si>
    <t>Too much omega 6 compared to omega 3- promotes inflammation</t>
  </si>
  <si>
    <t>Omega-3 Total</t>
  </si>
  <si>
    <t>Need for increased Omega 3 rich foods or supplements</t>
  </si>
  <si>
    <t>EPA – Eicosapentaenoic Acid</t>
  </si>
  <si>
    <t>Linked to higher inflammation</t>
  </si>
  <si>
    <t>DPA</t>
  </si>
  <si>
    <t>Often reflects low overal omega 3 intake</t>
  </si>
  <si>
    <t>DHA – Docosahexaenoic Acid</t>
  </si>
  <si>
    <t>Can impair brain function</t>
  </si>
  <si>
    <t>Omega-6 Total</t>
  </si>
  <si>
    <t xml:space="preserve">Creates inflammation - common with high intake of processed foods </t>
  </si>
  <si>
    <t>Always look at Omega3/6 ratio to determine if this is an issue</t>
  </si>
  <si>
    <t>Arachidonic Acid</t>
  </si>
  <si>
    <t xml:space="preserve">May contribute to chronic inflammation, pain and higher cardiovascular risk </t>
  </si>
  <si>
    <t>Linoleic Acid</t>
  </si>
  <si>
    <t>Can lead to excess inflammation</t>
  </si>
  <si>
    <t>LH</t>
  </si>
  <si>
    <t>(mIU/mL)</t>
  </si>
  <si>
    <t>Hormone - Brain</t>
  </si>
  <si>
    <t xml:space="preserve">May suggest testes aren't responding properly to the brain asking it to produce hormones </t>
  </si>
  <si>
    <t>May suggest brain isn't signaling properly possibly causing low testosterone</t>
  </si>
  <si>
    <t>LH - Follicular Phase</t>
  </si>
  <si>
    <t>Can occur with PCOS, menopause or ovarian issues</t>
  </si>
  <si>
    <t>Suggests brain isn't signaling properly affecting fertility and cycles</t>
  </si>
  <si>
    <t>LH - Ovulation Phase</t>
  </si>
  <si>
    <t>LH - Luteal Phase</t>
  </si>
  <si>
    <t>LH - Postmenopausal</t>
  </si>
  <si>
    <t>FSH</t>
  </si>
  <si>
    <t>Often a sign that the testes aren't making enough sperm</t>
  </si>
  <si>
    <t>May suggest brain isn't signaling properly possibly causing low sperm production</t>
  </si>
  <si>
    <t>FSH - Follicular Phase</t>
  </si>
  <si>
    <t>Common in menopause or ovarian issues (ovaries aren't responding well)</t>
  </si>
  <si>
    <t>Suggests brain isn't signaling properly - stress, etc</t>
  </si>
  <si>
    <t>FSH - Ovulation Phase</t>
  </si>
  <si>
    <t>FSH - Luteal Phase</t>
  </si>
  <si>
    <t>FSH - Postmenopausal</t>
  </si>
  <si>
    <t>IGF-1, LC/MS</t>
  </si>
  <si>
    <t>May indicate high growth hormone levels - GH therapy, growth spurt or condition causing high GH</t>
  </si>
  <si>
    <t>Can mean low GH, aging, poor nutrition or liver dysfunction - check other markers to correlate</t>
  </si>
  <si>
    <t xml:space="preserve">IGF-1, LC/MS </t>
  </si>
  <si>
    <t>TSH – Thyroid Stimulating Hormone</t>
  </si>
  <si>
    <t>(mIU/L)</t>
  </si>
  <si>
    <t>Hormone - Thyroid</t>
  </si>
  <si>
    <t>Increased in primary thyroid hypofunction.</t>
  </si>
  <si>
    <t>Decreased in thyroid hypofunction secondary to anterior pituitary dysfunction and thyroid hyperfunction.</t>
  </si>
  <si>
    <t>T4 – Total Thyroxine</t>
  </si>
  <si>
    <t>Increased with thyroid hyperfunction.</t>
  </si>
  <si>
    <t>Decreased with thyroid hypofunction.</t>
  </si>
  <si>
    <t>T3 Uptake</t>
  </si>
  <si>
    <t>Increased with thyroid hyperfunction and testosterone elevation.</t>
  </si>
  <si>
    <t>Decreased with thyroid hypofunction and estrogen elevations.</t>
  </si>
  <si>
    <t>FTI</t>
  </si>
  <si>
    <t>Increased in thyroid hyperfunction.</t>
  </si>
  <si>
    <t>Decreased in thyroid hypofunction and with a selenium need.</t>
  </si>
  <si>
    <t>T3 – Total Triiodothyronine</t>
  </si>
  <si>
    <t>Metabolism is overactive - anxiety, weight loss and rapid heartbeat symptoms</t>
  </si>
  <si>
    <t>Metabolism is slow - fatigue, weight gain and cold sensitivity symptoms</t>
  </si>
  <si>
    <t>T3 Free</t>
  </si>
  <si>
    <t>(pg/mL)</t>
  </si>
  <si>
    <t>Anxiety, insomnia, hyperthyroid symptoms</t>
  </si>
  <si>
    <t>Fatigue, weight gain, hypothyroid symptoms</t>
  </si>
  <si>
    <t>Reverse T3</t>
  </si>
  <si>
    <t>(ng/dL)</t>
  </si>
  <si>
    <t>Chronic stress, inflammation, poor T4 to T3 conversion</t>
  </si>
  <si>
    <t>Possible recovery from stress or underdosing T4</t>
  </si>
  <si>
    <t>Free T4</t>
  </si>
  <si>
    <t>Overactive thyroid, potential overmedication</t>
  </si>
  <si>
    <t>Hypothyroidism, poor thyroid output</t>
  </si>
  <si>
    <t>TBG</t>
  </si>
  <si>
    <t>(Âµg/mL)</t>
  </si>
  <si>
    <t>Often seen in pregnancy, estrogen therapy or liver dysfunction</t>
  </si>
  <si>
    <t>May occur with steroid use, liver dysfunction or high testosterone</t>
  </si>
  <si>
    <t>Cortisol - AM</t>
  </si>
  <si>
    <t>Hormone - Adrenal and/or Gonadal</t>
  </si>
  <si>
    <t xml:space="preserve">Often suggests stress, anxiety </t>
  </si>
  <si>
    <t>Suggests adrenal fatigue</t>
  </si>
  <si>
    <t>Cortisol - PM</t>
  </si>
  <si>
    <t>Often suggests chronic stress - leads to disrupted sleep</t>
  </si>
  <si>
    <t>DHEA-Sulfate</t>
  </si>
  <si>
    <t>(mcg/dL)</t>
  </si>
  <si>
    <t xml:space="preserve">Suggests overactive adrenal glands or DHEA supplements </t>
  </si>
  <si>
    <t>Common with aging, stress or adrenal fatigue</t>
  </si>
  <si>
    <t>Often linked to PCOS or adrenal issues</t>
  </si>
  <si>
    <t>Pregnenolone</t>
  </si>
  <si>
    <t>May results from supplementation - not usually harmful on its own</t>
  </si>
  <si>
    <t>Seen with chronic stress, aging, adrenal fatigue or poor cholesterol metabolism</t>
  </si>
  <si>
    <t>Estrone</t>
  </si>
  <si>
    <t>Can occur with weight gain, liver dysfunction or excess aromatization</t>
  </si>
  <si>
    <t>Estradiol</t>
  </si>
  <si>
    <t>Estradiol - Follicular Phase</t>
  </si>
  <si>
    <t xml:space="preserve">Can occur with estrogen dominance, PCOS, HRT, ovarian issues </t>
  </si>
  <si>
    <t xml:space="preserve">Possible low body fat % or extreme exercise, menopause or perimenopause, ovarian insufficiency, pituitary/hypothalamic dysfunction, malnutrition </t>
  </si>
  <si>
    <t>Estradiol - Ovulation Phase</t>
  </si>
  <si>
    <t>Estradiol - Luteal Phase</t>
  </si>
  <si>
    <t>Estradiol - Postmenopausal</t>
  </si>
  <si>
    <t>Progesterone - Follicular Phase</t>
  </si>
  <si>
    <t>Normal in luteal phase or pregnancy, otherwise can result from HRT or ovarian cyst. Rarely a concern</t>
  </si>
  <si>
    <t>Can mean PCOS, no ovulation - symptoms - irregular periods, spotting, infertility, anxiety, mood swings and sleep issues</t>
  </si>
  <si>
    <t>Progesterone - Luteal Phase</t>
  </si>
  <si>
    <t>Progesterone - Ovulation Phase</t>
  </si>
  <si>
    <t>Progesterone - Pregnancy 1st Trimester</t>
  </si>
  <si>
    <t>Progesterone - Pregnancy 2nd Trimester</t>
  </si>
  <si>
    <t>Progesterone - Pregnancy 3rd Trimester</t>
  </si>
  <si>
    <t>Progesterone - Postmenopausal</t>
  </si>
  <si>
    <t>Testosterone, Total</t>
  </si>
  <si>
    <t>Possible steroid use or TRT</t>
  </si>
  <si>
    <t>Maybe aging, stress, testes dysfunction or pituitary issues</t>
  </si>
  <si>
    <t>Testosterone, Free</t>
  </si>
  <si>
    <t>Can occur in PCOS, adrenal issues or supplements</t>
  </si>
  <si>
    <t>Can happen with aging, hormone imbalance or adrenal fatigue</t>
  </si>
  <si>
    <t>PSA, Total</t>
  </si>
  <si>
    <t>Hormone</t>
  </si>
  <si>
    <t>Suggests BPH or inflammation (prostatis) - should get a checkup from doctor</t>
  </si>
  <si>
    <t>PSA, Free</t>
  </si>
  <si>
    <t>Inflammation - similar to above - checkup from doctor recommended</t>
  </si>
  <si>
    <t>PSA,Free Ratio</t>
  </si>
  <si>
    <t xml:space="preserve">If high PSA total then checkup from doctor recommended </t>
  </si>
  <si>
    <t>SHBG – Sex Hormone Binding Globulin</t>
  </si>
  <si>
    <t>(nmol/L)</t>
  </si>
  <si>
    <t xml:space="preserve">Less free (active) testosterone </t>
  </si>
  <si>
    <t xml:space="preserve">Linked to hypothyroid, insulin resistance and type 2 diabetes </t>
  </si>
  <si>
    <t>Less free (active) testosterone and estrogen</t>
  </si>
  <si>
    <t>Vitamin D3 – 25-OH</t>
  </si>
  <si>
    <t xml:space="preserve">Usually due to supplementation </t>
  </si>
  <si>
    <t>Very common, especially in people with limited sun exposure</t>
  </si>
  <si>
    <t>1,25-Dihydroxy Vitamin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</si>
</sst>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0"/>
    <col customWidth="1" min="2" max="2" width="21.0"/>
    <col customWidth="1" min="3" max="3" width="19.43"/>
    <col customWidth="1" min="4" max="4" width="21.29"/>
    <col customWidth="1" min="5" max="5" width="9.71"/>
    <col customWidth="1" min="6" max="6" width="8.71"/>
    <col customWidth="1" min="7" max="7" width="10.71"/>
    <col customWidth="1" min="8" max="8" width="33.14"/>
    <col customWidth="1" min="9" max="9" width="69.86"/>
    <col customWidth="1" min="10" max="10" width="56.86"/>
    <col customWidth="1" min="11" max="11" width="40.14"/>
    <col customWidth="1" min="12" max="12" width="19.71"/>
    <col customWidth="1" min="13" max="13" width="19.14"/>
    <col customWidth="1" min="14" max="1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0.0</v>
      </c>
      <c r="C2" s="2">
        <v>100.0</v>
      </c>
      <c r="D2" s="2" t="s">
        <v>15</v>
      </c>
      <c r="E2" s="2" t="s">
        <v>16</v>
      </c>
      <c r="F2" s="3">
        <v>85.0</v>
      </c>
      <c r="G2" s="3">
        <v>99.0</v>
      </c>
      <c r="H2" s="2" t="s">
        <v>17</v>
      </c>
      <c r="I2" s="2" t="s">
        <v>18</v>
      </c>
      <c r="J2" s="2" t="s">
        <v>19</v>
      </c>
      <c r="K2" s="2">
        <v>3.0</v>
      </c>
      <c r="L2" s="2">
        <v>100.0</v>
      </c>
      <c r="M2" s="2">
        <f t="shared" ref="M2:M146" si="1">IF(OR(L2="",F2="",G2=""),"",IF(AND(L2&gt;=F2,L2&lt;=G2),1,IF(OR(ABS(L2-F2)/F2&lt;=0.1,ABS(L2-G2)/G2&lt;=0.1),1,IF(OR(AND(ABS(L2-F2)/F2&gt;0.1,ABS(L2-F2)/F2&lt;=0.25),AND(ABS(L2-G2)/G2&gt;0.1,ABS(L2-G2)/G2&lt;=0.25)),2,3))))
</f>
        <v>1</v>
      </c>
      <c r="N2" s="2">
        <f t="shared" ref="N2:N146" si="2">K2*M2</f>
        <v>3</v>
      </c>
    </row>
    <row r="3">
      <c r="A3" s="2" t="s">
        <v>20</v>
      </c>
      <c r="B3" s="2">
        <v>0.0</v>
      </c>
      <c r="C3" s="2">
        <v>100.0</v>
      </c>
      <c r="D3" s="2" t="s">
        <v>21</v>
      </c>
      <c r="E3" s="2" t="s">
        <v>16</v>
      </c>
      <c r="F3" s="3">
        <v>4.8</v>
      </c>
      <c r="G3" s="3">
        <v>5.6</v>
      </c>
      <c r="H3" s="2" t="s">
        <v>17</v>
      </c>
      <c r="I3" s="2" t="s">
        <v>18</v>
      </c>
      <c r="J3" s="2" t="s">
        <v>19</v>
      </c>
      <c r="K3" s="2">
        <v>5.0</v>
      </c>
      <c r="L3" s="2">
        <v>5.6</v>
      </c>
      <c r="M3" s="2">
        <f t="shared" si="1"/>
        <v>1</v>
      </c>
      <c r="N3" s="2">
        <f t="shared" si="2"/>
        <v>5</v>
      </c>
    </row>
    <row r="4">
      <c r="A4" s="2" t="s">
        <v>22</v>
      </c>
      <c r="B4" s="2">
        <v>0.0</v>
      </c>
      <c r="C4" s="2">
        <v>100.0</v>
      </c>
      <c r="D4" s="2" t="s">
        <v>15</v>
      </c>
      <c r="E4" s="2" t="s">
        <v>16</v>
      </c>
      <c r="F4" s="3">
        <v>150.0</v>
      </c>
      <c r="G4" s="3">
        <v>199.0</v>
      </c>
      <c r="H4" s="2" t="s">
        <v>23</v>
      </c>
      <c r="I4" s="2" t="s">
        <v>24</v>
      </c>
      <c r="J4" s="2" t="s">
        <v>25</v>
      </c>
      <c r="K4" s="2">
        <v>3.0</v>
      </c>
      <c r="L4" s="2">
        <v>258.7</v>
      </c>
      <c r="M4" s="2">
        <f t="shared" si="1"/>
        <v>3</v>
      </c>
      <c r="N4" s="2">
        <f t="shared" si="2"/>
        <v>9</v>
      </c>
    </row>
    <row r="5">
      <c r="A5" s="2" t="s">
        <v>26</v>
      </c>
      <c r="B5" s="2">
        <v>0.0</v>
      </c>
      <c r="C5" s="2">
        <v>100.0</v>
      </c>
      <c r="D5" s="2" t="s">
        <v>15</v>
      </c>
      <c r="E5" s="2" t="s">
        <v>16</v>
      </c>
      <c r="F5" s="3">
        <v>75.0</v>
      </c>
      <c r="G5" s="3">
        <v>100.0</v>
      </c>
      <c r="H5" s="2" t="s">
        <v>23</v>
      </c>
      <c r="I5" s="2" t="s">
        <v>27</v>
      </c>
      <c r="J5" s="2" t="s">
        <v>28</v>
      </c>
      <c r="K5" s="2">
        <v>4.0</v>
      </c>
      <c r="L5" s="2">
        <v>75.0</v>
      </c>
      <c r="M5" s="2">
        <f t="shared" si="1"/>
        <v>1</v>
      </c>
      <c r="N5" s="2">
        <f t="shared" si="2"/>
        <v>4</v>
      </c>
    </row>
    <row r="6">
      <c r="A6" s="2" t="s">
        <v>29</v>
      </c>
      <c r="B6" s="2">
        <v>0.0</v>
      </c>
      <c r="C6" s="2">
        <v>100.0</v>
      </c>
      <c r="D6" s="2" t="s">
        <v>15</v>
      </c>
      <c r="E6" s="2" t="s">
        <v>16</v>
      </c>
      <c r="F6" s="3">
        <v>55.0</v>
      </c>
      <c r="G6" s="3">
        <v>100.0</v>
      </c>
      <c r="H6" s="2" t="s">
        <v>23</v>
      </c>
      <c r="I6" s="2" t="s">
        <v>30</v>
      </c>
      <c r="J6" s="2" t="s">
        <v>31</v>
      </c>
      <c r="K6" s="2">
        <v>3.0</v>
      </c>
      <c r="L6" s="2">
        <v>55.0</v>
      </c>
      <c r="M6" s="2">
        <f t="shared" si="1"/>
        <v>1</v>
      </c>
      <c r="N6" s="2">
        <f t="shared" si="2"/>
        <v>3</v>
      </c>
    </row>
    <row r="7">
      <c r="A7" s="2" t="s">
        <v>32</v>
      </c>
      <c r="B7" s="2">
        <v>0.0</v>
      </c>
      <c r="C7" s="2">
        <v>100.0</v>
      </c>
      <c r="D7" s="2" t="s">
        <v>15</v>
      </c>
      <c r="E7" s="2" t="s">
        <v>16</v>
      </c>
      <c r="F7" s="3">
        <v>0.1</v>
      </c>
      <c r="G7" s="3">
        <v>99.0</v>
      </c>
      <c r="H7" s="2" t="s">
        <v>23</v>
      </c>
      <c r="I7" s="2" t="s">
        <v>33</v>
      </c>
      <c r="J7" s="4" t="s">
        <v>34</v>
      </c>
      <c r="K7" s="2">
        <v>4.0</v>
      </c>
      <c r="L7" s="2">
        <v>118.0</v>
      </c>
      <c r="M7" s="2">
        <f t="shared" si="1"/>
        <v>2</v>
      </c>
      <c r="N7" s="2">
        <f t="shared" si="2"/>
        <v>8</v>
      </c>
    </row>
    <row r="8">
      <c r="A8" s="2" t="s">
        <v>35</v>
      </c>
      <c r="B8" s="2">
        <v>0.0</v>
      </c>
      <c r="C8" s="2">
        <v>100.0</v>
      </c>
      <c r="E8" s="2" t="s">
        <v>16</v>
      </c>
      <c r="F8" s="3">
        <v>0.1</v>
      </c>
      <c r="G8" s="3">
        <v>3.1</v>
      </c>
      <c r="H8" s="2" t="s">
        <v>23</v>
      </c>
      <c r="I8" s="2" t="s">
        <v>36</v>
      </c>
      <c r="J8" s="2" t="s">
        <v>37</v>
      </c>
      <c r="K8" s="2">
        <v>3.0</v>
      </c>
      <c r="L8" s="2">
        <v>3.5</v>
      </c>
      <c r="M8" s="2">
        <f t="shared" si="1"/>
        <v>2</v>
      </c>
      <c r="N8" s="2">
        <f t="shared" si="2"/>
        <v>6</v>
      </c>
    </row>
    <row r="9">
      <c r="A9" s="2" t="s">
        <v>38</v>
      </c>
      <c r="B9" s="2">
        <v>0.0</v>
      </c>
      <c r="C9" s="2">
        <v>100.0</v>
      </c>
      <c r="D9" s="2" t="s">
        <v>39</v>
      </c>
      <c r="E9" s="2" t="s">
        <v>16</v>
      </c>
      <c r="F9" s="3">
        <v>0.1</v>
      </c>
      <c r="G9" s="3">
        <v>3.0</v>
      </c>
      <c r="H9" s="2" t="s">
        <v>23</v>
      </c>
      <c r="I9" s="2" t="s">
        <v>40</v>
      </c>
      <c r="J9" s="4" t="s">
        <v>34</v>
      </c>
      <c r="K9" s="2">
        <v>5.0</v>
      </c>
      <c r="L9" s="2">
        <v>4.2</v>
      </c>
      <c r="M9" s="2">
        <f t="shared" si="1"/>
        <v>3</v>
      </c>
      <c r="N9" s="2">
        <f t="shared" si="2"/>
        <v>15</v>
      </c>
    </row>
    <row r="10">
      <c r="A10" s="2" t="s">
        <v>41</v>
      </c>
      <c r="B10" s="2">
        <v>0.0</v>
      </c>
      <c r="C10" s="2">
        <v>100.0</v>
      </c>
      <c r="D10" s="2" t="s">
        <v>42</v>
      </c>
      <c r="E10" s="2" t="s">
        <v>16</v>
      </c>
      <c r="F10" s="3">
        <v>0.1</v>
      </c>
      <c r="G10" s="3">
        <v>7.0</v>
      </c>
      <c r="H10" s="2" t="s">
        <v>23</v>
      </c>
      <c r="I10" s="2" t="s">
        <v>43</v>
      </c>
      <c r="J10" s="4" t="s">
        <v>34</v>
      </c>
      <c r="K10" s="2">
        <v>4.0</v>
      </c>
      <c r="L10" s="2">
        <v>8.0</v>
      </c>
      <c r="M10" s="2">
        <f t="shared" si="1"/>
        <v>2</v>
      </c>
      <c r="N10" s="2">
        <f t="shared" si="2"/>
        <v>8</v>
      </c>
    </row>
    <row r="11">
      <c r="A11" s="2" t="s">
        <v>44</v>
      </c>
      <c r="B11" s="2">
        <v>0.0</v>
      </c>
      <c r="C11" s="2">
        <v>100.0</v>
      </c>
      <c r="D11" s="2" t="s">
        <v>45</v>
      </c>
      <c r="E11" s="2" t="s">
        <v>16</v>
      </c>
      <c r="F11" s="3">
        <v>0.1</v>
      </c>
      <c r="G11" s="3">
        <v>34.0</v>
      </c>
      <c r="H11" s="2" t="s">
        <v>23</v>
      </c>
      <c r="I11" s="2" t="s">
        <v>46</v>
      </c>
      <c r="J11" s="4" t="s">
        <v>34</v>
      </c>
      <c r="K11" s="2">
        <v>5.0</v>
      </c>
      <c r="L11" s="2">
        <v>25.0</v>
      </c>
      <c r="M11" s="2">
        <f t="shared" si="1"/>
        <v>1</v>
      </c>
      <c r="N11" s="2">
        <f t="shared" si="2"/>
        <v>5</v>
      </c>
    </row>
    <row r="12">
      <c r="A12" s="2" t="s">
        <v>47</v>
      </c>
      <c r="B12" s="2">
        <v>0.0</v>
      </c>
      <c r="C12" s="2">
        <v>100.0</v>
      </c>
      <c r="D12" s="2" t="s">
        <v>45</v>
      </c>
      <c r="E12" s="2" t="s">
        <v>16</v>
      </c>
      <c r="F12" s="3">
        <v>0.0</v>
      </c>
      <c r="G12" s="3">
        <v>0.9</v>
      </c>
      <c r="H12" s="2" t="s">
        <v>23</v>
      </c>
      <c r="I12" s="2" t="s">
        <v>46</v>
      </c>
      <c r="J12" s="4" t="s">
        <v>34</v>
      </c>
      <c r="K12" s="2">
        <v>5.0</v>
      </c>
      <c r="L12" s="2">
        <v>0.7</v>
      </c>
      <c r="M12" s="2">
        <f t="shared" si="1"/>
        <v>1</v>
      </c>
      <c r="N12" s="2">
        <f t="shared" si="2"/>
        <v>5</v>
      </c>
    </row>
    <row r="13" ht="15.75" customHeight="1">
      <c r="A13" s="2" t="s">
        <v>48</v>
      </c>
      <c r="B13" s="2">
        <v>0.0</v>
      </c>
      <c r="C13" s="2">
        <v>100.0</v>
      </c>
      <c r="D13" s="2" t="s">
        <v>49</v>
      </c>
      <c r="E13" s="2" t="s">
        <v>16</v>
      </c>
      <c r="F13" s="3">
        <v>250.0</v>
      </c>
      <c r="G13" s="3">
        <v>350.0</v>
      </c>
      <c r="H13" s="2" t="s">
        <v>50</v>
      </c>
      <c r="I13" s="2" t="s">
        <v>51</v>
      </c>
      <c r="J13" s="2" t="s">
        <v>52</v>
      </c>
      <c r="K13" s="2">
        <v>3.0</v>
      </c>
      <c r="L13" s="2">
        <v>250.0</v>
      </c>
      <c r="M13" s="2">
        <f t="shared" si="1"/>
        <v>1</v>
      </c>
      <c r="N13" s="2">
        <f t="shared" si="2"/>
        <v>3</v>
      </c>
    </row>
    <row r="14" ht="15.75" customHeight="1">
      <c r="A14" s="2" t="s">
        <v>53</v>
      </c>
      <c r="B14" s="2">
        <v>0.0</v>
      </c>
      <c r="C14" s="2">
        <v>100.0</v>
      </c>
      <c r="D14" s="2" t="s">
        <v>49</v>
      </c>
      <c r="E14" s="2" t="s">
        <v>16</v>
      </c>
      <c r="F14" s="3">
        <v>150.0</v>
      </c>
      <c r="G14" s="3">
        <v>375.0</v>
      </c>
      <c r="H14" s="2" t="s">
        <v>50</v>
      </c>
      <c r="I14" s="2" t="s">
        <v>51</v>
      </c>
      <c r="J14" s="2" t="s">
        <v>52</v>
      </c>
      <c r="K14" s="2">
        <v>3.0</v>
      </c>
      <c r="L14" s="2">
        <v>150.0</v>
      </c>
      <c r="M14" s="2">
        <f t="shared" si="1"/>
        <v>1</v>
      </c>
      <c r="N14" s="2">
        <f t="shared" si="2"/>
        <v>3</v>
      </c>
    </row>
    <row r="15" ht="15.75" customHeight="1">
      <c r="A15" s="2" t="s">
        <v>54</v>
      </c>
      <c r="B15" s="2">
        <v>0.0</v>
      </c>
      <c r="C15" s="2">
        <v>100.0</v>
      </c>
      <c r="D15" s="2" t="s">
        <v>49</v>
      </c>
      <c r="E15" s="2" t="s">
        <v>16</v>
      </c>
      <c r="F15" s="3">
        <v>85.0</v>
      </c>
      <c r="G15" s="3">
        <v>130.0</v>
      </c>
      <c r="H15" s="2" t="s">
        <v>50</v>
      </c>
      <c r="I15" s="2" t="s">
        <v>55</v>
      </c>
      <c r="J15" s="2" t="s">
        <v>56</v>
      </c>
      <c r="K15" s="2">
        <v>5.0</v>
      </c>
      <c r="L15" s="2">
        <v>59.49999999999999</v>
      </c>
      <c r="M15" s="2">
        <f t="shared" si="1"/>
        <v>3</v>
      </c>
      <c r="N15" s="2">
        <f t="shared" si="2"/>
        <v>15</v>
      </c>
    </row>
    <row r="16" ht="15.75" customHeight="1">
      <c r="A16" s="2" t="s">
        <v>57</v>
      </c>
      <c r="B16" s="2">
        <v>0.0</v>
      </c>
      <c r="C16" s="2">
        <v>100.0</v>
      </c>
      <c r="D16" s="2" t="s">
        <v>21</v>
      </c>
      <c r="E16" s="2" t="s">
        <v>16</v>
      </c>
      <c r="F16" s="3">
        <v>15.0</v>
      </c>
      <c r="G16" s="3">
        <v>55.0</v>
      </c>
      <c r="H16" s="2" t="s">
        <v>50</v>
      </c>
      <c r="I16" s="2" t="s">
        <v>58</v>
      </c>
      <c r="J16" s="2" t="s">
        <v>59</v>
      </c>
      <c r="K16" s="2">
        <v>3.0</v>
      </c>
      <c r="L16" s="2">
        <v>71.5</v>
      </c>
      <c r="M16" s="2">
        <f t="shared" si="1"/>
        <v>3</v>
      </c>
      <c r="N16" s="2">
        <f t="shared" si="2"/>
        <v>9</v>
      </c>
    </row>
    <row r="17" ht="15.75" customHeight="1">
      <c r="A17" s="2" t="s">
        <v>60</v>
      </c>
      <c r="B17" s="2">
        <v>0.0</v>
      </c>
      <c r="C17" s="2">
        <v>100.0</v>
      </c>
      <c r="D17" s="2" t="s">
        <v>61</v>
      </c>
      <c r="E17" s="2" t="s">
        <v>16</v>
      </c>
      <c r="F17" s="3">
        <v>10.0</v>
      </c>
      <c r="G17" s="3">
        <v>122.0</v>
      </c>
      <c r="H17" s="2" t="s">
        <v>50</v>
      </c>
      <c r="I17" s="2" t="s">
        <v>62</v>
      </c>
      <c r="J17" s="2" t="s">
        <v>63</v>
      </c>
      <c r="K17" s="2">
        <v>3.0</v>
      </c>
      <c r="L17" s="2">
        <v>10.0</v>
      </c>
      <c r="M17" s="2">
        <f t="shared" si="1"/>
        <v>1</v>
      </c>
      <c r="N17" s="2">
        <f t="shared" si="2"/>
        <v>3</v>
      </c>
    </row>
    <row r="18" ht="15.75" customHeight="1">
      <c r="A18" s="2" t="s">
        <v>64</v>
      </c>
      <c r="B18" s="2">
        <v>0.0</v>
      </c>
      <c r="C18" s="2">
        <v>100.0</v>
      </c>
      <c r="D18" s="2" t="s">
        <v>61</v>
      </c>
      <c r="E18" s="2" t="s">
        <v>16</v>
      </c>
      <c r="F18" s="3">
        <v>10.0</v>
      </c>
      <c r="G18" s="3">
        <v>263.0</v>
      </c>
      <c r="H18" s="2" t="s">
        <v>50</v>
      </c>
      <c r="I18" s="2" t="s">
        <v>62</v>
      </c>
      <c r="J18" s="2" t="s">
        <v>63</v>
      </c>
      <c r="K18" s="2">
        <v>3.0</v>
      </c>
      <c r="L18" s="2">
        <v>10.0</v>
      </c>
      <c r="M18" s="2">
        <f t="shared" si="1"/>
        <v>1</v>
      </c>
      <c r="N18" s="2">
        <f t="shared" si="2"/>
        <v>3</v>
      </c>
    </row>
    <row r="19" ht="15.75" customHeight="1">
      <c r="A19" s="2" t="s">
        <v>65</v>
      </c>
      <c r="B19" s="2">
        <v>0.0</v>
      </c>
      <c r="C19" s="2">
        <v>100.0</v>
      </c>
      <c r="D19" s="2" t="s">
        <v>61</v>
      </c>
      <c r="E19" s="2" t="s">
        <v>16</v>
      </c>
      <c r="F19" s="3">
        <v>33.0</v>
      </c>
      <c r="G19" s="3">
        <v>236.0</v>
      </c>
      <c r="H19" s="2" t="s">
        <v>50</v>
      </c>
      <c r="I19" s="2" t="s">
        <v>62</v>
      </c>
      <c r="J19" s="2" t="s">
        <v>63</v>
      </c>
      <c r="K19" s="2">
        <v>3.0</v>
      </c>
      <c r="L19" s="2">
        <v>33.0</v>
      </c>
      <c r="M19" s="2">
        <f t="shared" si="1"/>
        <v>1</v>
      </c>
      <c r="N19" s="2">
        <f t="shared" si="2"/>
        <v>3</v>
      </c>
    </row>
    <row r="20" ht="15.75" customHeight="1">
      <c r="A20" s="2" t="s">
        <v>66</v>
      </c>
      <c r="B20" s="2">
        <v>0.0</v>
      </c>
      <c r="C20" s="2">
        <v>100.0</v>
      </c>
      <c r="D20" s="2" t="s">
        <v>15</v>
      </c>
      <c r="E20" s="2" t="s">
        <v>16</v>
      </c>
      <c r="F20" s="3">
        <v>200.0</v>
      </c>
      <c r="G20" s="3">
        <v>370.0</v>
      </c>
      <c r="H20" s="2" t="s">
        <v>50</v>
      </c>
      <c r="I20" s="2" t="s">
        <v>67</v>
      </c>
      <c r="J20" s="2" t="s">
        <v>68</v>
      </c>
      <c r="K20" s="2">
        <v>3.0</v>
      </c>
      <c r="L20" s="2">
        <v>200.0</v>
      </c>
      <c r="M20" s="2">
        <f t="shared" si="1"/>
        <v>1</v>
      </c>
      <c r="N20" s="2">
        <f t="shared" si="2"/>
        <v>3</v>
      </c>
    </row>
    <row r="21" ht="15.75" customHeight="1">
      <c r="A21" s="2" t="s">
        <v>69</v>
      </c>
      <c r="B21" s="2">
        <v>0.0</v>
      </c>
      <c r="C21" s="2">
        <v>100.0</v>
      </c>
      <c r="E21" s="2" t="s">
        <v>16</v>
      </c>
      <c r="F21" s="3">
        <v>193.0</v>
      </c>
      <c r="G21" s="3">
        <v>507.0</v>
      </c>
      <c r="H21" s="2" t="s">
        <v>50</v>
      </c>
      <c r="I21" s="2" t="s">
        <v>70</v>
      </c>
      <c r="J21" s="2" t="s">
        <v>71</v>
      </c>
      <c r="K21" s="2">
        <v>3.0</v>
      </c>
      <c r="L21" s="2">
        <v>659.1</v>
      </c>
      <c r="M21" s="2">
        <f t="shared" si="1"/>
        <v>3</v>
      </c>
      <c r="N21" s="2">
        <f t="shared" si="2"/>
        <v>9</v>
      </c>
    </row>
    <row r="22" ht="15.75" customHeight="1">
      <c r="A22" s="2" t="s">
        <v>72</v>
      </c>
      <c r="B22" s="2">
        <v>0.0</v>
      </c>
      <c r="C22" s="2">
        <v>100.0</v>
      </c>
      <c r="E22" s="2" t="s">
        <v>16</v>
      </c>
      <c r="F22" s="3">
        <v>5.0</v>
      </c>
      <c r="G22" s="3">
        <v>8.0</v>
      </c>
      <c r="H22" s="2" t="s">
        <v>73</v>
      </c>
      <c r="I22" s="2" t="s">
        <v>74</v>
      </c>
      <c r="J22" s="2" t="s">
        <v>75</v>
      </c>
      <c r="K22" s="2">
        <v>4.0</v>
      </c>
      <c r="L22" s="2">
        <v>5.0</v>
      </c>
      <c r="M22" s="2">
        <f t="shared" si="1"/>
        <v>1</v>
      </c>
      <c r="N22" s="2">
        <f t="shared" si="2"/>
        <v>4</v>
      </c>
    </row>
    <row r="23" ht="15.75" customHeight="1">
      <c r="A23" s="2" t="s">
        <v>76</v>
      </c>
      <c r="B23" s="2">
        <v>0.0</v>
      </c>
      <c r="C23" s="2">
        <v>100.0</v>
      </c>
      <c r="E23" s="2" t="s">
        <v>77</v>
      </c>
      <c r="F23" s="3">
        <v>3.9</v>
      </c>
      <c r="G23" s="3">
        <v>4.5</v>
      </c>
      <c r="H23" s="2" t="s">
        <v>73</v>
      </c>
      <c r="I23" s="2" t="s">
        <v>78</v>
      </c>
      <c r="J23" s="2" t="s">
        <v>79</v>
      </c>
      <c r="K23" s="2">
        <v>5.0</v>
      </c>
      <c r="L23" s="2">
        <v>5.850000000000001</v>
      </c>
      <c r="M23" s="2">
        <f t="shared" si="1"/>
        <v>3</v>
      </c>
      <c r="N23" s="2">
        <f t="shared" si="2"/>
        <v>15</v>
      </c>
    </row>
    <row r="24" ht="15.75" customHeight="1">
      <c r="A24" s="2" t="s">
        <v>76</v>
      </c>
      <c r="B24" s="2">
        <v>0.0</v>
      </c>
      <c r="C24" s="2">
        <v>100.0</v>
      </c>
      <c r="E24" s="2" t="s">
        <v>80</v>
      </c>
      <c r="F24" s="3">
        <v>4.4</v>
      </c>
      <c r="G24" s="3">
        <v>4.9</v>
      </c>
      <c r="H24" s="2" t="s">
        <v>73</v>
      </c>
      <c r="I24" s="2" t="s">
        <v>78</v>
      </c>
      <c r="J24" s="2" t="s">
        <v>79</v>
      </c>
      <c r="K24" s="2">
        <v>5.0</v>
      </c>
      <c r="L24" s="2">
        <v>4.4</v>
      </c>
      <c r="M24" s="2">
        <f t="shared" si="1"/>
        <v>1</v>
      </c>
      <c r="N24" s="2">
        <f t="shared" si="2"/>
        <v>5</v>
      </c>
    </row>
    <row r="25" ht="15.75" customHeight="1">
      <c r="A25" s="2" t="s">
        <v>81</v>
      </c>
      <c r="B25" s="2">
        <v>0.0</v>
      </c>
      <c r="C25" s="2">
        <v>100.0</v>
      </c>
      <c r="D25" s="2" t="s">
        <v>82</v>
      </c>
      <c r="E25" s="2" t="s">
        <v>77</v>
      </c>
      <c r="F25" s="3">
        <v>13.5</v>
      </c>
      <c r="G25" s="3">
        <v>14.5</v>
      </c>
      <c r="H25" s="2" t="s">
        <v>73</v>
      </c>
      <c r="I25" s="2" t="s">
        <v>83</v>
      </c>
      <c r="J25" s="2" t="s">
        <v>84</v>
      </c>
      <c r="K25" s="2">
        <v>5.0</v>
      </c>
      <c r="L25" s="2">
        <v>13.5</v>
      </c>
      <c r="M25" s="2">
        <f t="shared" si="1"/>
        <v>1</v>
      </c>
      <c r="N25" s="2">
        <f t="shared" si="2"/>
        <v>5</v>
      </c>
    </row>
    <row r="26" ht="15.75" customHeight="1">
      <c r="A26" s="2" t="s">
        <v>81</v>
      </c>
      <c r="B26" s="2">
        <v>0.0</v>
      </c>
      <c r="C26" s="2">
        <v>100.0</v>
      </c>
      <c r="D26" s="2" t="s">
        <v>82</v>
      </c>
      <c r="E26" s="2" t="s">
        <v>80</v>
      </c>
      <c r="F26" s="3">
        <v>14.0</v>
      </c>
      <c r="G26" s="3">
        <v>15.0</v>
      </c>
      <c r="H26" s="2" t="s">
        <v>73</v>
      </c>
      <c r="I26" s="2" t="s">
        <v>83</v>
      </c>
      <c r="J26" s="2" t="s">
        <v>84</v>
      </c>
      <c r="K26" s="2">
        <v>5.0</v>
      </c>
      <c r="L26" s="2">
        <v>14.0</v>
      </c>
      <c r="M26" s="2">
        <f t="shared" si="1"/>
        <v>1</v>
      </c>
      <c r="N26" s="2">
        <f t="shared" si="2"/>
        <v>5</v>
      </c>
    </row>
    <row r="27" ht="15.75" customHeight="1">
      <c r="A27" s="2" t="s">
        <v>85</v>
      </c>
      <c r="B27" s="2">
        <v>0.0</v>
      </c>
      <c r="C27" s="2">
        <v>100.0</v>
      </c>
      <c r="D27" s="2" t="s">
        <v>21</v>
      </c>
      <c r="E27" s="2" t="s">
        <v>77</v>
      </c>
      <c r="F27" s="3">
        <v>37.0</v>
      </c>
      <c r="G27" s="3">
        <v>44.0</v>
      </c>
      <c r="H27" s="2" t="s">
        <v>73</v>
      </c>
      <c r="I27" s="2" t="s">
        <v>86</v>
      </c>
      <c r="J27" s="2" t="s">
        <v>87</v>
      </c>
      <c r="K27" s="2">
        <v>5.0</v>
      </c>
      <c r="L27" s="2">
        <v>37.0</v>
      </c>
      <c r="M27" s="2">
        <f t="shared" si="1"/>
        <v>1</v>
      </c>
      <c r="N27" s="2">
        <f t="shared" si="2"/>
        <v>5</v>
      </c>
    </row>
    <row r="28" ht="15.75" customHeight="1">
      <c r="A28" s="2" t="s">
        <v>85</v>
      </c>
      <c r="B28" s="2">
        <v>0.0</v>
      </c>
      <c r="C28" s="2">
        <v>100.0</v>
      </c>
      <c r="D28" s="2" t="s">
        <v>21</v>
      </c>
      <c r="E28" s="2" t="s">
        <v>80</v>
      </c>
      <c r="F28" s="3">
        <v>39.0</v>
      </c>
      <c r="G28" s="3">
        <v>55.0</v>
      </c>
      <c r="H28" s="2" t="s">
        <v>73</v>
      </c>
      <c r="I28" s="2" t="s">
        <v>86</v>
      </c>
      <c r="J28" s="2" t="s">
        <v>87</v>
      </c>
      <c r="K28" s="2">
        <v>5.0</v>
      </c>
      <c r="L28" s="2">
        <v>27.3</v>
      </c>
      <c r="M28" s="2">
        <f t="shared" si="1"/>
        <v>3</v>
      </c>
      <c r="N28" s="2">
        <f t="shared" si="2"/>
        <v>15</v>
      </c>
    </row>
    <row r="29" ht="15.75" customHeight="1">
      <c r="A29" s="2" t="s">
        <v>88</v>
      </c>
      <c r="B29" s="2">
        <v>0.0</v>
      </c>
      <c r="C29" s="2">
        <v>100.0</v>
      </c>
      <c r="D29" s="2" t="s">
        <v>89</v>
      </c>
      <c r="E29" s="2" t="s">
        <v>16</v>
      </c>
      <c r="F29" s="3">
        <v>85.0</v>
      </c>
      <c r="G29" s="3">
        <v>92.0</v>
      </c>
      <c r="H29" s="2" t="s">
        <v>73</v>
      </c>
      <c r="I29" s="2" t="s">
        <v>90</v>
      </c>
      <c r="J29" s="2" t="s">
        <v>91</v>
      </c>
      <c r="K29" s="2">
        <v>4.0</v>
      </c>
      <c r="L29" s="2">
        <v>85.0</v>
      </c>
      <c r="M29" s="2">
        <f t="shared" si="1"/>
        <v>1</v>
      </c>
      <c r="N29" s="2">
        <f t="shared" si="2"/>
        <v>4</v>
      </c>
    </row>
    <row r="30" ht="15.75" customHeight="1">
      <c r="A30" s="2" t="s">
        <v>92</v>
      </c>
      <c r="B30" s="2">
        <v>0.0</v>
      </c>
      <c r="C30" s="2">
        <v>100.0</v>
      </c>
      <c r="D30" s="2" t="s">
        <v>93</v>
      </c>
      <c r="E30" s="2" t="s">
        <v>16</v>
      </c>
      <c r="F30" s="3">
        <v>27.7</v>
      </c>
      <c r="G30" s="3">
        <v>32.0</v>
      </c>
      <c r="H30" s="2" t="s">
        <v>73</v>
      </c>
      <c r="I30" s="2" t="s">
        <v>94</v>
      </c>
      <c r="J30" s="2" t="s">
        <v>95</v>
      </c>
      <c r="K30" s="2">
        <v>4.0</v>
      </c>
      <c r="L30" s="2">
        <v>27.7</v>
      </c>
      <c r="M30" s="2">
        <f t="shared" si="1"/>
        <v>1</v>
      </c>
      <c r="N30" s="2">
        <f t="shared" si="2"/>
        <v>4</v>
      </c>
    </row>
    <row r="31" ht="15.75" customHeight="1">
      <c r="A31" s="2" t="s">
        <v>96</v>
      </c>
      <c r="B31" s="2">
        <v>0.0</v>
      </c>
      <c r="C31" s="2">
        <v>100.0</v>
      </c>
      <c r="D31" s="2" t="s">
        <v>82</v>
      </c>
      <c r="E31" s="2" t="s">
        <v>16</v>
      </c>
      <c r="F31" s="3">
        <v>32.0</v>
      </c>
      <c r="G31" s="3">
        <v>36.0</v>
      </c>
      <c r="H31" s="2" t="s">
        <v>73</v>
      </c>
      <c r="I31" s="2" t="s">
        <v>97</v>
      </c>
      <c r="J31" s="2" t="s">
        <v>91</v>
      </c>
      <c r="K31" s="2">
        <v>4.0</v>
      </c>
      <c r="L31" s="2">
        <v>32.0</v>
      </c>
      <c r="M31" s="2">
        <f t="shared" si="1"/>
        <v>1</v>
      </c>
      <c r="N31" s="2">
        <f t="shared" si="2"/>
        <v>4</v>
      </c>
    </row>
    <row r="32" ht="15.75" customHeight="1">
      <c r="A32" s="2" t="s">
        <v>98</v>
      </c>
      <c r="B32" s="2">
        <v>0.0</v>
      </c>
      <c r="C32" s="2">
        <v>100.0</v>
      </c>
      <c r="D32" s="2" t="s">
        <v>21</v>
      </c>
      <c r="E32" s="2" t="s">
        <v>16</v>
      </c>
      <c r="F32" s="3">
        <v>11.7</v>
      </c>
      <c r="G32" s="3">
        <v>15.0</v>
      </c>
      <c r="H32" s="2" t="s">
        <v>73</v>
      </c>
      <c r="I32" s="2" t="s">
        <v>99</v>
      </c>
      <c r="J32" s="4" t="s">
        <v>34</v>
      </c>
      <c r="K32" s="2">
        <v>3.0</v>
      </c>
      <c r="L32" s="2">
        <v>11.7</v>
      </c>
      <c r="M32" s="2">
        <f t="shared" si="1"/>
        <v>1</v>
      </c>
      <c r="N32" s="2">
        <f t="shared" si="2"/>
        <v>3</v>
      </c>
    </row>
    <row r="33" ht="15.75" customHeight="1">
      <c r="A33" s="2" t="s">
        <v>100</v>
      </c>
      <c r="B33" s="2">
        <v>0.0</v>
      </c>
      <c r="C33" s="2">
        <v>100.0</v>
      </c>
      <c r="D33" s="2" t="s">
        <v>101</v>
      </c>
      <c r="E33" s="2" t="s">
        <v>16</v>
      </c>
      <c r="F33" s="3">
        <v>155.0</v>
      </c>
      <c r="G33" s="3">
        <v>379.0</v>
      </c>
      <c r="H33" s="2" t="s">
        <v>73</v>
      </c>
      <c r="I33" s="2" t="s">
        <v>102</v>
      </c>
      <c r="J33" s="2" t="s">
        <v>103</v>
      </c>
      <c r="K33" s="2">
        <v>3.0</v>
      </c>
      <c r="L33" s="2">
        <v>492.7</v>
      </c>
      <c r="M33" s="2">
        <f t="shared" si="1"/>
        <v>3</v>
      </c>
      <c r="N33" s="2">
        <f t="shared" si="2"/>
        <v>9</v>
      </c>
    </row>
    <row r="34" ht="15.75" customHeight="1">
      <c r="A34" s="2" t="s">
        <v>104</v>
      </c>
      <c r="B34" s="2">
        <v>0.0</v>
      </c>
      <c r="C34" s="2">
        <v>100.0</v>
      </c>
      <c r="D34" s="2" t="s">
        <v>21</v>
      </c>
      <c r="E34" s="2" t="s">
        <v>16</v>
      </c>
      <c r="F34" s="3">
        <v>40.0</v>
      </c>
      <c r="G34" s="3">
        <v>60.0</v>
      </c>
      <c r="H34" s="2" t="s">
        <v>73</v>
      </c>
      <c r="I34" s="2" t="s">
        <v>105</v>
      </c>
      <c r="J34" s="2" t="s">
        <v>106</v>
      </c>
      <c r="K34" s="2">
        <v>3.0</v>
      </c>
      <c r="L34" s="2">
        <v>40.0</v>
      </c>
      <c r="M34" s="2">
        <f t="shared" si="1"/>
        <v>1</v>
      </c>
      <c r="N34" s="2">
        <f t="shared" si="2"/>
        <v>3</v>
      </c>
    </row>
    <row r="35" ht="15.75" customHeight="1">
      <c r="A35" s="2" t="s">
        <v>107</v>
      </c>
      <c r="B35" s="2">
        <v>0.0</v>
      </c>
      <c r="C35" s="2">
        <v>100.0</v>
      </c>
      <c r="D35" s="2" t="s">
        <v>21</v>
      </c>
      <c r="E35" s="2" t="s">
        <v>16</v>
      </c>
      <c r="F35" s="3">
        <v>25.0</v>
      </c>
      <c r="G35" s="3">
        <v>40.0</v>
      </c>
      <c r="H35" s="2" t="s">
        <v>73</v>
      </c>
      <c r="I35" s="2" t="s">
        <v>108</v>
      </c>
      <c r="J35" s="2" t="s">
        <v>109</v>
      </c>
      <c r="K35" s="2">
        <v>3.0</v>
      </c>
      <c r="L35" s="2">
        <v>17.5</v>
      </c>
      <c r="M35" s="2">
        <f t="shared" si="1"/>
        <v>3</v>
      </c>
      <c r="N35" s="2">
        <f t="shared" si="2"/>
        <v>9</v>
      </c>
    </row>
    <row r="36" ht="15.75" customHeight="1">
      <c r="A36" s="2" t="s">
        <v>110</v>
      </c>
      <c r="B36" s="2">
        <v>0.0</v>
      </c>
      <c r="C36" s="2">
        <v>100.0</v>
      </c>
      <c r="D36" s="2" t="s">
        <v>21</v>
      </c>
      <c r="E36" s="2" t="s">
        <v>16</v>
      </c>
      <c r="F36" s="3">
        <v>4.0</v>
      </c>
      <c r="G36" s="3">
        <v>7.0</v>
      </c>
      <c r="H36" s="2" t="s">
        <v>73</v>
      </c>
      <c r="I36" s="2" t="s">
        <v>111</v>
      </c>
      <c r="J36" s="4" t="s">
        <v>34</v>
      </c>
      <c r="K36" s="2">
        <v>3.0</v>
      </c>
      <c r="L36" s="2">
        <v>4.0</v>
      </c>
      <c r="M36" s="2">
        <f t="shared" si="1"/>
        <v>1</v>
      </c>
      <c r="N36" s="2">
        <f t="shared" si="2"/>
        <v>3</v>
      </c>
    </row>
    <row r="37" ht="15.75" customHeight="1">
      <c r="A37" s="2" t="s">
        <v>112</v>
      </c>
      <c r="B37" s="2">
        <v>0.0</v>
      </c>
      <c r="C37" s="2">
        <v>100.0</v>
      </c>
      <c r="D37" s="2" t="s">
        <v>21</v>
      </c>
      <c r="E37" s="2" t="s">
        <v>16</v>
      </c>
      <c r="F37" s="3">
        <v>0.1</v>
      </c>
      <c r="G37" s="3">
        <v>3.0</v>
      </c>
      <c r="H37" s="2" t="s">
        <v>73</v>
      </c>
      <c r="I37" s="2" t="s">
        <v>113</v>
      </c>
      <c r="J37" s="4" t="s">
        <v>34</v>
      </c>
      <c r="K37" s="2">
        <v>3.0</v>
      </c>
      <c r="L37" s="2">
        <v>0.0</v>
      </c>
      <c r="M37" s="2">
        <f t="shared" si="1"/>
        <v>3</v>
      </c>
      <c r="N37" s="2">
        <f t="shared" si="2"/>
        <v>9</v>
      </c>
    </row>
    <row r="38" ht="15.75" customHeight="1">
      <c r="A38" s="2" t="s">
        <v>114</v>
      </c>
      <c r="B38" s="2">
        <v>0.0</v>
      </c>
      <c r="C38" s="2">
        <v>100.0</v>
      </c>
      <c r="D38" s="2" t="s">
        <v>21</v>
      </c>
      <c r="E38" s="2" t="s">
        <v>16</v>
      </c>
      <c r="F38" s="3">
        <v>0.1</v>
      </c>
      <c r="G38" s="3">
        <v>3.0</v>
      </c>
      <c r="H38" s="2" t="s">
        <v>73</v>
      </c>
      <c r="I38" s="2" t="s">
        <v>115</v>
      </c>
      <c r="J38" s="4" t="s">
        <v>34</v>
      </c>
      <c r="K38" s="2">
        <v>3.0</v>
      </c>
      <c r="L38" s="2">
        <v>3.9</v>
      </c>
      <c r="M38" s="2">
        <f t="shared" si="1"/>
        <v>3</v>
      </c>
      <c r="N38" s="2">
        <f t="shared" si="2"/>
        <v>9</v>
      </c>
    </row>
    <row r="39" ht="15.75" customHeight="1">
      <c r="A39" s="2" t="s">
        <v>116</v>
      </c>
      <c r="B39" s="2">
        <v>0.0</v>
      </c>
      <c r="C39" s="2">
        <v>100.0</v>
      </c>
      <c r="D39" s="2" t="s">
        <v>15</v>
      </c>
      <c r="E39" s="2" t="s">
        <v>77</v>
      </c>
      <c r="F39" s="3">
        <v>3.2</v>
      </c>
      <c r="G39" s="3">
        <v>5.5</v>
      </c>
      <c r="H39" s="2" t="s">
        <v>117</v>
      </c>
      <c r="I39" s="2" t="s">
        <v>118</v>
      </c>
      <c r="J39" s="2" t="s">
        <v>119</v>
      </c>
      <c r="K39" s="2">
        <v>2.0</v>
      </c>
      <c r="L39" s="2">
        <v>3.2</v>
      </c>
      <c r="M39" s="2">
        <f t="shared" si="1"/>
        <v>1</v>
      </c>
      <c r="N39" s="2">
        <f t="shared" si="2"/>
        <v>2</v>
      </c>
    </row>
    <row r="40" ht="15.75" customHeight="1">
      <c r="A40" s="2" t="s">
        <v>116</v>
      </c>
      <c r="B40" s="2">
        <v>0.0</v>
      </c>
      <c r="C40" s="2">
        <v>100.0</v>
      </c>
      <c r="D40" s="2" t="s">
        <v>15</v>
      </c>
      <c r="E40" s="2" t="s">
        <v>80</v>
      </c>
      <c r="F40" s="3">
        <v>3.7</v>
      </c>
      <c r="G40" s="3">
        <v>6.0</v>
      </c>
      <c r="H40" s="2" t="s">
        <v>117</v>
      </c>
      <c r="I40" s="2" t="s">
        <v>118</v>
      </c>
      <c r="J40" s="2" t="s">
        <v>119</v>
      </c>
      <c r="K40" s="2">
        <v>2.0</v>
      </c>
      <c r="L40" s="2">
        <v>7.800000000000001</v>
      </c>
      <c r="M40" s="2">
        <f t="shared" si="1"/>
        <v>3</v>
      </c>
      <c r="N40" s="2">
        <f t="shared" si="2"/>
        <v>6</v>
      </c>
    </row>
    <row r="41" ht="15.75" customHeight="1">
      <c r="A41" s="2" t="s">
        <v>120</v>
      </c>
      <c r="B41" s="2">
        <v>0.0</v>
      </c>
      <c r="C41" s="2">
        <v>100.0</v>
      </c>
      <c r="D41" s="2" t="s">
        <v>15</v>
      </c>
      <c r="E41" s="2" t="s">
        <v>16</v>
      </c>
      <c r="F41" s="3">
        <v>13.0</v>
      </c>
      <c r="G41" s="3">
        <v>18.0</v>
      </c>
      <c r="H41" s="2" t="s">
        <v>117</v>
      </c>
      <c r="I41" s="2" t="s">
        <v>121</v>
      </c>
      <c r="J41" s="2" t="s">
        <v>122</v>
      </c>
      <c r="K41" s="2">
        <v>3.0</v>
      </c>
      <c r="L41" s="2">
        <v>9.1</v>
      </c>
      <c r="M41" s="2">
        <f t="shared" si="1"/>
        <v>3</v>
      </c>
      <c r="N41" s="2">
        <f t="shared" si="2"/>
        <v>9</v>
      </c>
    </row>
    <row r="42" ht="15.75" customHeight="1">
      <c r="A42" s="2" t="s">
        <v>123</v>
      </c>
      <c r="B42" s="2">
        <v>0.0</v>
      </c>
      <c r="C42" s="2">
        <v>100.0</v>
      </c>
      <c r="D42" s="2" t="s">
        <v>15</v>
      </c>
      <c r="E42" s="2" t="s">
        <v>77</v>
      </c>
      <c r="F42" s="3">
        <v>0.65</v>
      </c>
      <c r="G42" s="3">
        <v>0.9</v>
      </c>
      <c r="H42" s="2" t="s">
        <v>117</v>
      </c>
      <c r="I42" s="2" t="s">
        <v>124</v>
      </c>
      <c r="J42" s="2" t="s">
        <v>125</v>
      </c>
      <c r="K42" s="2">
        <v>3.0</v>
      </c>
      <c r="L42" s="2">
        <v>0.65</v>
      </c>
      <c r="M42" s="2">
        <f t="shared" si="1"/>
        <v>1</v>
      </c>
      <c r="N42" s="2">
        <f t="shared" si="2"/>
        <v>3</v>
      </c>
    </row>
    <row r="43" ht="15.75" customHeight="1">
      <c r="A43" s="2" t="s">
        <v>123</v>
      </c>
      <c r="B43" s="2">
        <v>0.0</v>
      </c>
      <c r="C43" s="2">
        <v>100.0</v>
      </c>
      <c r="D43" s="2" t="s">
        <v>15</v>
      </c>
      <c r="E43" s="2" t="s">
        <v>80</v>
      </c>
      <c r="F43" s="3">
        <v>0.85</v>
      </c>
      <c r="G43" s="3">
        <v>1.1</v>
      </c>
      <c r="H43" s="2" t="s">
        <v>117</v>
      </c>
      <c r="I43" s="2" t="s">
        <v>124</v>
      </c>
      <c r="J43" s="2" t="s">
        <v>125</v>
      </c>
      <c r="K43" s="2">
        <v>3.0</v>
      </c>
      <c r="L43" s="2">
        <v>0.85</v>
      </c>
      <c r="M43" s="2">
        <f t="shared" si="1"/>
        <v>1</v>
      </c>
      <c r="N43" s="2">
        <f t="shared" si="2"/>
        <v>3</v>
      </c>
    </row>
    <row r="44" ht="15.75" customHeight="1">
      <c r="A44" s="5" t="s">
        <v>126</v>
      </c>
      <c r="B44" s="2">
        <v>0.0</v>
      </c>
      <c r="C44" s="2">
        <v>100.0</v>
      </c>
      <c r="D44" s="2" t="s">
        <v>127</v>
      </c>
      <c r="E44" s="2" t="s">
        <v>16</v>
      </c>
      <c r="F44" s="3">
        <v>59.0</v>
      </c>
      <c r="G44" s="3">
        <v>150.0</v>
      </c>
      <c r="H44" s="2" t="s">
        <v>117</v>
      </c>
      <c r="I44" s="2" t="s">
        <v>128</v>
      </c>
      <c r="J44" s="2" t="s">
        <v>129</v>
      </c>
      <c r="K44" s="2">
        <v>4.0</v>
      </c>
      <c r="L44" s="2">
        <v>59.0</v>
      </c>
      <c r="M44" s="2">
        <f t="shared" si="1"/>
        <v>1</v>
      </c>
      <c r="N44" s="2">
        <f t="shared" si="2"/>
        <v>4</v>
      </c>
    </row>
    <row r="45" ht="15.75" customHeight="1">
      <c r="A45" s="2" t="s">
        <v>130</v>
      </c>
      <c r="B45" s="2">
        <v>0.0</v>
      </c>
      <c r="C45" s="2">
        <v>100.0</v>
      </c>
      <c r="E45" s="2" t="s">
        <v>16</v>
      </c>
      <c r="F45" s="3">
        <v>10.0</v>
      </c>
      <c r="G45" s="3">
        <v>20.0</v>
      </c>
      <c r="H45" s="2" t="s">
        <v>117</v>
      </c>
      <c r="I45" s="2" t="s">
        <v>131</v>
      </c>
      <c r="J45" s="2" t="s">
        <v>132</v>
      </c>
      <c r="K45" s="2">
        <v>3.0</v>
      </c>
      <c r="L45" s="2">
        <v>10.0</v>
      </c>
      <c r="M45" s="2">
        <f t="shared" si="1"/>
        <v>1</v>
      </c>
      <c r="N45" s="2">
        <f t="shared" si="2"/>
        <v>3</v>
      </c>
    </row>
    <row r="46" ht="15.75" customHeight="1">
      <c r="A46" s="2" t="s">
        <v>133</v>
      </c>
      <c r="B46" s="2">
        <v>0.0</v>
      </c>
      <c r="C46" s="2">
        <v>100.0</v>
      </c>
      <c r="D46" s="2" t="s">
        <v>134</v>
      </c>
      <c r="E46" s="2" t="s">
        <v>16</v>
      </c>
      <c r="F46" s="3">
        <v>135.0</v>
      </c>
      <c r="G46" s="3">
        <v>140.0</v>
      </c>
      <c r="H46" s="2" t="s">
        <v>117</v>
      </c>
      <c r="I46" s="2" t="s">
        <v>135</v>
      </c>
      <c r="J46" s="2" t="s">
        <v>136</v>
      </c>
      <c r="K46" s="2">
        <v>2.0</v>
      </c>
      <c r="L46" s="2">
        <v>135.0</v>
      </c>
      <c r="M46" s="2">
        <f t="shared" si="1"/>
        <v>1</v>
      </c>
      <c r="N46" s="2">
        <f t="shared" si="2"/>
        <v>2</v>
      </c>
    </row>
    <row r="47" ht="15.75" customHeight="1">
      <c r="A47" s="2" t="s">
        <v>137</v>
      </c>
      <c r="B47" s="2">
        <v>0.0</v>
      </c>
      <c r="C47" s="2">
        <v>100.0</v>
      </c>
      <c r="D47" s="2" t="s">
        <v>134</v>
      </c>
      <c r="E47" s="2" t="s">
        <v>16</v>
      </c>
      <c r="F47" s="3">
        <v>4.0</v>
      </c>
      <c r="G47" s="3">
        <v>4.5</v>
      </c>
      <c r="H47" s="2" t="s">
        <v>117</v>
      </c>
      <c r="I47" s="2" t="s">
        <v>138</v>
      </c>
      <c r="J47" s="2" t="s">
        <v>139</v>
      </c>
      <c r="K47" s="2">
        <v>2.0</v>
      </c>
      <c r="L47" s="2">
        <v>2.8</v>
      </c>
      <c r="M47" s="2">
        <f t="shared" si="1"/>
        <v>3</v>
      </c>
      <c r="N47" s="2">
        <f t="shared" si="2"/>
        <v>6</v>
      </c>
    </row>
    <row r="48" ht="15.75" customHeight="1">
      <c r="A48" s="2" t="s">
        <v>140</v>
      </c>
      <c r="B48" s="2">
        <v>0.0</v>
      </c>
      <c r="C48" s="2">
        <v>100.0</v>
      </c>
      <c r="D48" s="2" t="s">
        <v>134</v>
      </c>
      <c r="E48" s="2" t="s">
        <v>16</v>
      </c>
      <c r="F48" s="3">
        <v>100.0</v>
      </c>
      <c r="G48" s="3">
        <v>106.0</v>
      </c>
      <c r="H48" s="2" t="s">
        <v>117</v>
      </c>
      <c r="I48" s="2" t="s">
        <v>141</v>
      </c>
      <c r="J48" s="2" t="s">
        <v>142</v>
      </c>
      <c r="K48" s="2">
        <v>2.0</v>
      </c>
      <c r="L48" s="2">
        <v>100.0</v>
      </c>
      <c r="M48" s="2">
        <f t="shared" si="1"/>
        <v>1</v>
      </c>
      <c r="N48" s="2">
        <f t="shared" si="2"/>
        <v>2</v>
      </c>
    </row>
    <row r="49" ht="15.75" customHeight="1">
      <c r="A49" s="2" t="s">
        <v>143</v>
      </c>
      <c r="B49" s="2">
        <v>0.0</v>
      </c>
      <c r="C49" s="2">
        <v>100.0</v>
      </c>
      <c r="D49" s="2" t="s">
        <v>134</v>
      </c>
      <c r="E49" s="2" t="s">
        <v>16</v>
      </c>
      <c r="F49" s="3">
        <v>22.0</v>
      </c>
      <c r="G49" s="3">
        <v>27.0</v>
      </c>
      <c r="H49" s="2" t="s">
        <v>117</v>
      </c>
      <c r="I49" s="2" t="s">
        <v>144</v>
      </c>
      <c r="J49" s="2" t="s">
        <v>145</v>
      </c>
      <c r="K49" s="2">
        <v>1.0</v>
      </c>
      <c r="L49" s="2">
        <v>35.1</v>
      </c>
      <c r="M49" s="2">
        <f t="shared" si="1"/>
        <v>3</v>
      </c>
      <c r="N49" s="2">
        <f t="shared" si="2"/>
        <v>3</v>
      </c>
    </row>
    <row r="50" ht="15.75" customHeight="1">
      <c r="A50" s="2" t="s">
        <v>146</v>
      </c>
      <c r="B50" s="2">
        <v>0.0</v>
      </c>
      <c r="C50" s="2">
        <v>100.0</v>
      </c>
      <c r="D50" s="2" t="s">
        <v>134</v>
      </c>
      <c r="E50" s="2" t="s">
        <v>16</v>
      </c>
      <c r="F50" s="3">
        <v>7.0</v>
      </c>
      <c r="G50" s="3">
        <v>12.0</v>
      </c>
      <c r="H50" s="2" t="s">
        <v>117</v>
      </c>
      <c r="I50" s="2" t="s">
        <v>147</v>
      </c>
      <c r="J50" s="4" t="s">
        <v>34</v>
      </c>
      <c r="K50" s="2">
        <v>1.0</v>
      </c>
      <c r="L50" s="2">
        <v>7.0</v>
      </c>
      <c r="M50" s="2">
        <f t="shared" si="1"/>
        <v>1</v>
      </c>
      <c r="N50" s="2">
        <f t="shared" si="2"/>
        <v>1</v>
      </c>
    </row>
    <row r="51" ht="15.75" customHeight="1">
      <c r="A51" s="2" t="s">
        <v>148</v>
      </c>
      <c r="B51" s="2">
        <v>0.0</v>
      </c>
      <c r="C51" s="2">
        <v>100.0</v>
      </c>
      <c r="D51" s="2" t="s">
        <v>15</v>
      </c>
      <c r="E51" s="2" t="s">
        <v>16</v>
      </c>
      <c r="F51" s="3">
        <v>9.2</v>
      </c>
      <c r="G51" s="3">
        <v>10.1</v>
      </c>
      <c r="H51" s="2" t="s">
        <v>117</v>
      </c>
      <c r="I51" s="2" t="s">
        <v>149</v>
      </c>
      <c r="J51" s="2" t="s">
        <v>150</v>
      </c>
      <c r="K51" s="2">
        <v>1.0</v>
      </c>
      <c r="L51" s="2">
        <v>9.2</v>
      </c>
      <c r="M51" s="2">
        <f t="shared" si="1"/>
        <v>1</v>
      </c>
      <c r="N51" s="2">
        <f t="shared" si="2"/>
        <v>1</v>
      </c>
    </row>
    <row r="52" ht="15.75" customHeight="1">
      <c r="A52" s="2" t="s">
        <v>133</v>
      </c>
      <c r="B52" s="2">
        <v>0.0</v>
      </c>
      <c r="C52" s="2">
        <v>100.0</v>
      </c>
      <c r="D52" s="2" t="s">
        <v>15</v>
      </c>
      <c r="E52" s="2" t="s">
        <v>16</v>
      </c>
      <c r="F52" s="3">
        <v>3.5</v>
      </c>
      <c r="G52" s="3">
        <v>4.0</v>
      </c>
      <c r="H52" s="2" t="s">
        <v>117</v>
      </c>
      <c r="I52" s="2" t="s">
        <v>151</v>
      </c>
      <c r="J52" s="2" t="s">
        <v>152</v>
      </c>
      <c r="K52" s="2">
        <v>1.0</v>
      </c>
      <c r="L52" s="2">
        <v>3.5</v>
      </c>
      <c r="M52" s="2">
        <f t="shared" si="1"/>
        <v>1</v>
      </c>
      <c r="N52" s="2">
        <f t="shared" si="2"/>
        <v>1</v>
      </c>
    </row>
    <row r="53" ht="15.75" customHeight="1">
      <c r="A53" s="2" t="s">
        <v>153</v>
      </c>
      <c r="B53" s="2">
        <v>0.0</v>
      </c>
      <c r="C53" s="2">
        <v>100.0</v>
      </c>
      <c r="D53" s="2" t="s">
        <v>15</v>
      </c>
      <c r="E53" s="2" t="s">
        <v>16</v>
      </c>
      <c r="F53" s="3">
        <v>2.0</v>
      </c>
      <c r="G53" s="3">
        <v>2.5</v>
      </c>
      <c r="H53" s="2" t="s">
        <v>117</v>
      </c>
      <c r="I53" s="2" t="s">
        <v>154</v>
      </c>
      <c r="J53" s="2" t="s">
        <v>155</v>
      </c>
      <c r="K53" s="2">
        <v>1.0</v>
      </c>
      <c r="L53" s="2">
        <v>2.0</v>
      </c>
      <c r="M53" s="2">
        <f t="shared" si="1"/>
        <v>1</v>
      </c>
      <c r="N53" s="2">
        <f t="shared" si="2"/>
        <v>1</v>
      </c>
    </row>
    <row r="54" ht="15.75" customHeight="1">
      <c r="A54" s="2" t="s">
        <v>156</v>
      </c>
      <c r="B54" s="2">
        <v>0.0</v>
      </c>
      <c r="C54" s="2">
        <v>100.0</v>
      </c>
      <c r="D54" s="2" t="s">
        <v>82</v>
      </c>
      <c r="E54" s="2" t="s">
        <v>16</v>
      </c>
      <c r="F54" s="3">
        <v>6.9</v>
      </c>
      <c r="G54" s="3">
        <v>7.4</v>
      </c>
      <c r="H54" s="2" t="s">
        <v>117</v>
      </c>
      <c r="I54" s="2" t="s">
        <v>157</v>
      </c>
      <c r="J54" s="2" t="s">
        <v>158</v>
      </c>
      <c r="K54" s="2">
        <v>1.0</v>
      </c>
      <c r="L54" s="2">
        <v>4.83</v>
      </c>
      <c r="M54" s="2">
        <f t="shared" si="1"/>
        <v>3</v>
      </c>
      <c r="N54" s="2">
        <f t="shared" si="2"/>
        <v>3</v>
      </c>
    </row>
    <row r="55" ht="15.75" customHeight="1">
      <c r="A55" s="2" t="s">
        <v>159</v>
      </c>
      <c r="B55" s="2">
        <v>0.0</v>
      </c>
      <c r="C55" s="2">
        <v>100.0</v>
      </c>
      <c r="D55" s="2" t="s">
        <v>82</v>
      </c>
      <c r="E55" s="2" t="s">
        <v>16</v>
      </c>
      <c r="F55" s="3">
        <v>4.0</v>
      </c>
      <c r="G55" s="3">
        <v>5.0</v>
      </c>
      <c r="H55" s="2" t="s">
        <v>117</v>
      </c>
      <c r="I55" s="2" t="s">
        <v>160</v>
      </c>
      <c r="J55" s="2" t="s">
        <v>161</v>
      </c>
      <c r="K55" s="2">
        <v>2.0</v>
      </c>
      <c r="L55" s="2">
        <v>4.0</v>
      </c>
      <c r="M55" s="2">
        <f t="shared" si="1"/>
        <v>1</v>
      </c>
      <c r="N55" s="2">
        <f t="shared" si="2"/>
        <v>2</v>
      </c>
    </row>
    <row r="56" ht="15.75" customHeight="1">
      <c r="A56" s="2" t="s">
        <v>162</v>
      </c>
      <c r="B56" s="2">
        <v>0.0</v>
      </c>
      <c r="C56" s="2">
        <v>100.0</v>
      </c>
      <c r="D56" s="2" t="s">
        <v>82</v>
      </c>
      <c r="E56" s="2" t="s">
        <v>16</v>
      </c>
      <c r="F56" s="3">
        <v>2.4</v>
      </c>
      <c r="G56" s="3">
        <v>2.8</v>
      </c>
      <c r="H56" s="2" t="s">
        <v>117</v>
      </c>
      <c r="I56" s="2" t="s">
        <v>163</v>
      </c>
      <c r="J56" s="2" t="s">
        <v>164</v>
      </c>
      <c r="K56" s="2">
        <v>2.0</v>
      </c>
      <c r="L56" s="2">
        <v>2.4</v>
      </c>
      <c r="M56" s="2">
        <f t="shared" si="1"/>
        <v>1</v>
      </c>
      <c r="N56" s="2">
        <f t="shared" si="2"/>
        <v>2</v>
      </c>
    </row>
    <row r="57" ht="15.75" customHeight="1">
      <c r="A57" s="2" t="s">
        <v>165</v>
      </c>
      <c r="B57" s="2">
        <v>0.0</v>
      </c>
      <c r="C57" s="2">
        <v>100.0</v>
      </c>
      <c r="E57" s="2" t="s">
        <v>16</v>
      </c>
      <c r="F57" s="3">
        <v>1.5</v>
      </c>
      <c r="G57" s="3">
        <v>2.0</v>
      </c>
      <c r="H57" s="2" t="s">
        <v>117</v>
      </c>
      <c r="I57" s="2" t="s">
        <v>166</v>
      </c>
      <c r="J57" s="2" t="s">
        <v>167</v>
      </c>
      <c r="K57" s="2">
        <v>2.0</v>
      </c>
      <c r="L57" s="2">
        <v>1.5</v>
      </c>
      <c r="M57" s="2">
        <f t="shared" si="1"/>
        <v>1</v>
      </c>
      <c r="N57" s="2">
        <f t="shared" si="2"/>
        <v>2</v>
      </c>
    </row>
    <row r="58" ht="15.75" customHeight="1">
      <c r="A58" s="2" t="s">
        <v>168</v>
      </c>
      <c r="B58" s="2">
        <v>0.0</v>
      </c>
      <c r="C58" s="2">
        <v>100.0</v>
      </c>
      <c r="D58" s="2" t="s">
        <v>15</v>
      </c>
      <c r="E58" s="2" t="s">
        <v>16</v>
      </c>
      <c r="F58" s="3">
        <v>0.0</v>
      </c>
      <c r="G58" s="3">
        <v>0.4</v>
      </c>
      <c r="H58" s="2" t="s">
        <v>117</v>
      </c>
      <c r="I58" s="2" t="s">
        <v>169</v>
      </c>
      <c r="J58" s="4" t="s">
        <v>34</v>
      </c>
      <c r="K58" s="2">
        <v>1.0</v>
      </c>
      <c r="L58" s="2">
        <v>0.0</v>
      </c>
      <c r="M58" s="2">
        <f t="shared" si="1"/>
        <v>1</v>
      </c>
      <c r="N58" s="2">
        <f t="shared" si="2"/>
        <v>1</v>
      </c>
    </row>
    <row r="59" ht="15.75" customHeight="1">
      <c r="A59" s="2" t="s">
        <v>170</v>
      </c>
      <c r="B59" s="2">
        <v>0.0</v>
      </c>
      <c r="C59" s="2">
        <v>100.0</v>
      </c>
      <c r="D59" s="2" t="s">
        <v>15</v>
      </c>
      <c r="E59" s="2" t="s">
        <v>16</v>
      </c>
      <c r="F59" s="3">
        <v>0.1</v>
      </c>
      <c r="G59" s="3">
        <v>1.2</v>
      </c>
      <c r="H59" s="2" t="s">
        <v>117</v>
      </c>
      <c r="I59" s="2" t="s">
        <v>171</v>
      </c>
      <c r="J59" s="4" t="s">
        <v>34</v>
      </c>
      <c r="K59" s="2">
        <v>2.0</v>
      </c>
      <c r="L59" s="2">
        <v>1.56</v>
      </c>
      <c r="M59" s="2">
        <f t="shared" si="1"/>
        <v>3</v>
      </c>
      <c r="N59" s="2">
        <f t="shared" si="2"/>
        <v>6</v>
      </c>
    </row>
    <row r="60" ht="15.75" customHeight="1">
      <c r="A60" s="2" t="s">
        <v>172</v>
      </c>
      <c r="B60" s="2">
        <v>0.0</v>
      </c>
      <c r="C60" s="2">
        <v>100.0</v>
      </c>
      <c r="D60" s="2" t="s">
        <v>173</v>
      </c>
      <c r="E60" s="2" t="s">
        <v>16</v>
      </c>
      <c r="F60" s="3">
        <v>44.0</v>
      </c>
      <c r="G60" s="3">
        <v>90.0</v>
      </c>
      <c r="H60" s="2" t="s">
        <v>117</v>
      </c>
      <c r="I60" s="2" t="s">
        <v>174</v>
      </c>
      <c r="J60" s="2" t="s">
        <v>175</v>
      </c>
      <c r="K60" s="2">
        <v>2.0</v>
      </c>
      <c r="L60" s="2">
        <v>44.0</v>
      </c>
      <c r="M60" s="2">
        <f t="shared" si="1"/>
        <v>1</v>
      </c>
      <c r="N60" s="2">
        <f t="shared" si="2"/>
        <v>2</v>
      </c>
    </row>
    <row r="61" ht="15.75" customHeight="1">
      <c r="A61" s="2" t="s">
        <v>176</v>
      </c>
      <c r="B61" s="2">
        <v>0.0</v>
      </c>
      <c r="C61" s="2">
        <v>100.0</v>
      </c>
      <c r="D61" s="2" t="s">
        <v>173</v>
      </c>
      <c r="E61" s="2" t="s">
        <v>16</v>
      </c>
      <c r="F61" s="3">
        <v>140.0</v>
      </c>
      <c r="G61" s="3">
        <v>180.0</v>
      </c>
      <c r="H61" s="2" t="s">
        <v>117</v>
      </c>
      <c r="I61" s="2" t="s">
        <v>177</v>
      </c>
      <c r="J61" s="2" t="s">
        <v>178</v>
      </c>
      <c r="K61" s="2">
        <v>2.0</v>
      </c>
      <c r="L61" s="2">
        <v>98.0</v>
      </c>
      <c r="M61" s="2">
        <f t="shared" si="1"/>
        <v>3</v>
      </c>
      <c r="N61" s="2">
        <f t="shared" si="2"/>
        <v>6</v>
      </c>
    </row>
    <row r="62" ht="15.75" customHeight="1">
      <c r="A62" s="2" t="s">
        <v>179</v>
      </c>
      <c r="B62" s="2">
        <v>0.0</v>
      </c>
      <c r="C62" s="2">
        <v>100.0</v>
      </c>
      <c r="D62" s="2" t="s">
        <v>173</v>
      </c>
      <c r="E62" s="2" t="s">
        <v>16</v>
      </c>
      <c r="F62" s="3">
        <v>10.0</v>
      </c>
      <c r="G62" s="3">
        <v>26.0</v>
      </c>
      <c r="H62" s="2" t="s">
        <v>117</v>
      </c>
      <c r="I62" s="2" t="s">
        <v>180</v>
      </c>
      <c r="J62" s="4" t="s">
        <v>34</v>
      </c>
      <c r="K62" s="2">
        <v>2.0</v>
      </c>
      <c r="L62" s="2">
        <v>10.0</v>
      </c>
      <c r="M62" s="2">
        <f t="shared" si="1"/>
        <v>1</v>
      </c>
      <c r="N62" s="2">
        <f t="shared" si="2"/>
        <v>2</v>
      </c>
    </row>
    <row r="63" ht="15.75" customHeight="1">
      <c r="A63" s="2" t="s">
        <v>181</v>
      </c>
      <c r="B63" s="2">
        <v>0.0</v>
      </c>
      <c r="C63" s="2">
        <v>100.0</v>
      </c>
      <c r="D63" s="2" t="s">
        <v>173</v>
      </c>
      <c r="E63" s="2" t="s">
        <v>16</v>
      </c>
      <c r="F63" s="3">
        <v>10.0</v>
      </c>
      <c r="G63" s="3">
        <v>26.0</v>
      </c>
      <c r="H63" s="2" t="s">
        <v>117</v>
      </c>
      <c r="I63" s="2" t="s">
        <v>180</v>
      </c>
      <c r="J63" s="4" t="s">
        <v>34</v>
      </c>
      <c r="K63" s="2">
        <v>2.0</v>
      </c>
      <c r="L63" s="2">
        <v>10.0</v>
      </c>
      <c r="M63" s="2">
        <f t="shared" si="1"/>
        <v>1</v>
      </c>
      <c r="N63" s="2">
        <f t="shared" si="2"/>
        <v>2</v>
      </c>
    </row>
    <row r="64" ht="15.75" customHeight="1">
      <c r="A64" s="2" t="s">
        <v>182</v>
      </c>
      <c r="B64" s="2">
        <v>0.0</v>
      </c>
      <c r="C64" s="2">
        <v>100.0</v>
      </c>
      <c r="D64" s="2" t="s">
        <v>173</v>
      </c>
      <c r="E64" s="2" t="s">
        <v>77</v>
      </c>
      <c r="F64" s="3">
        <v>10.0</v>
      </c>
      <c r="G64" s="3">
        <v>60.0</v>
      </c>
      <c r="H64" s="2" t="s">
        <v>117</v>
      </c>
      <c r="I64" s="2" t="s">
        <v>183</v>
      </c>
      <c r="J64" s="2" t="s">
        <v>184</v>
      </c>
      <c r="K64" s="2">
        <v>2.0</v>
      </c>
      <c r="L64" s="2">
        <v>78.0</v>
      </c>
      <c r="M64" s="2">
        <f t="shared" si="1"/>
        <v>3</v>
      </c>
      <c r="N64" s="2">
        <f t="shared" si="2"/>
        <v>6</v>
      </c>
    </row>
    <row r="65" ht="15.75" customHeight="1">
      <c r="A65" s="2" t="s">
        <v>182</v>
      </c>
      <c r="B65" s="2">
        <v>0.0</v>
      </c>
      <c r="C65" s="2">
        <v>100.0</v>
      </c>
      <c r="D65" s="2" t="s">
        <v>173</v>
      </c>
      <c r="E65" s="2" t="s">
        <v>80</v>
      </c>
      <c r="F65" s="3">
        <v>10.0</v>
      </c>
      <c r="G65" s="3">
        <v>65.0</v>
      </c>
      <c r="H65" s="2" t="s">
        <v>117</v>
      </c>
      <c r="I65" s="2" t="s">
        <v>183</v>
      </c>
      <c r="J65" s="2" t="s">
        <v>184</v>
      </c>
      <c r="K65" s="2">
        <v>2.0</v>
      </c>
      <c r="L65" s="2">
        <v>10.0</v>
      </c>
      <c r="M65" s="2">
        <f t="shared" si="1"/>
        <v>1</v>
      </c>
      <c r="N65" s="2">
        <f t="shared" si="2"/>
        <v>2</v>
      </c>
    </row>
    <row r="66" ht="15.75" customHeight="1">
      <c r="A66" s="2" t="s">
        <v>185</v>
      </c>
      <c r="B66" s="2">
        <v>0.0</v>
      </c>
      <c r="C66" s="2">
        <v>100.0</v>
      </c>
      <c r="D66" s="2" t="s">
        <v>186</v>
      </c>
      <c r="E66" s="2" t="s">
        <v>16</v>
      </c>
      <c r="F66" s="3">
        <v>5.4</v>
      </c>
      <c r="G66" s="3"/>
      <c r="H66" s="2" t="s">
        <v>187</v>
      </c>
      <c r="I66" s="4" t="s">
        <v>34</v>
      </c>
      <c r="J66" s="2" t="s">
        <v>188</v>
      </c>
      <c r="K66" s="2">
        <v>3.0</v>
      </c>
      <c r="L66" s="2">
        <v>6.0</v>
      </c>
      <c r="M66" s="2" t="str">
        <f t="shared" si="1"/>
        <v/>
      </c>
      <c r="N66" s="2">
        <f t="shared" si="2"/>
        <v>0</v>
      </c>
    </row>
    <row r="67" ht="15.75" customHeight="1">
      <c r="A67" s="2" t="s">
        <v>189</v>
      </c>
      <c r="B67" s="2">
        <v>0.0</v>
      </c>
      <c r="C67" s="2">
        <v>100.0</v>
      </c>
      <c r="E67" s="2" t="s">
        <v>16</v>
      </c>
      <c r="F67" s="3">
        <v>3.7</v>
      </c>
      <c r="G67" s="3">
        <v>40.7</v>
      </c>
      <c r="H67" s="2" t="s">
        <v>187</v>
      </c>
      <c r="I67" s="2" t="s">
        <v>190</v>
      </c>
      <c r="J67" s="4" t="s">
        <v>34</v>
      </c>
      <c r="K67" s="2">
        <v>3.0</v>
      </c>
      <c r="L67" s="2">
        <v>2.59</v>
      </c>
      <c r="M67" s="2">
        <f t="shared" si="1"/>
        <v>3</v>
      </c>
      <c r="N67" s="2">
        <f t="shared" si="2"/>
        <v>9</v>
      </c>
    </row>
    <row r="68" ht="15.75" customHeight="1">
      <c r="A68" s="2" t="s">
        <v>191</v>
      </c>
      <c r="B68" s="2">
        <v>0.0</v>
      </c>
      <c r="C68" s="2">
        <v>100.0</v>
      </c>
      <c r="E68" s="2" t="s">
        <v>16</v>
      </c>
      <c r="F68" s="3">
        <v>3.7</v>
      </c>
      <c r="G68" s="3">
        <v>14.4</v>
      </c>
      <c r="H68" s="2" t="s">
        <v>187</v>
      </c>
      <c r="I68" s="2" t="s">
        <v>192</v>
      </c>
      <c r="J68" s="4" t="s">
        <v>34</v>
      </c>
      <c r="K68" s="2">
        <v>3.0</v>
      </c>
      <c r="L68" s="2">
        <v>3.7</v>
      </c>
      <c r="M68" s="2">
        <f t="shared" si="1"/>
        <v>1</v>
      </c>
      <c r="N68" s="2">
        <f t="shared" si="2"/>
        <v>3</v>
      </c>
    </row>
    <row r="69" ht="15.75" customHeight="1">
      <c r="A69" s="2" t="s">
        <v>193</v>
      </c>
      <c r="B69" s="2">
        <v>0.0</v>
      </c>
      <c r="C69" s="2">
        <v>100.0</v>
      </c>
      <c r="D69" s="2" t="s">
        <v>186</v>
      </c>
      <c r="E69" s="2" t="s">
        <v>16</v>
      </c>
      <c r="F69" s="3">
        <v>3.7</v>
      </c>
      <c r="G69" s="3"/>
      <c r="H69" s="2" t="s">
        <v>187</v>
      </c>
      <c r="I69" s="4" t="s">
        <v>34</v>
      </c>
      <c r="J69" s="2" t="s">
        <v>194</v>
      </c>
      <c r="K69" s="2">
        <v>3.0</v>
      </c>
      <c r="L69" s="2">
        <v>3.7</v>
      </c>
      <c r="M69" s="2" t="str">
        <f t="shared" si="1"/>
        <v/>
      </c>
      <c r="N69" s="2">
        <f t="shared" si="2"/>
        <v>0</v>
      </c>
    </row>
    <row r="70" ht="15.75" customHeight="1">
      <c r="A70" s="2" t="s">
        <v>195</v>
      </c>
      <c r="B70" s="2">
        <v>0.0</v>
      </c>
      <c r="C70" s="2">
        <v>100.0</v>
      </c>
      <c r="D70" s="2" t="s">
        <v>186</v>
      </c>
      <c r="E70" s="2" t="s">
        <v>16</v>
      </c>
      <c r="F70" s="3">
        <v>0.2</v>
      </c>
      <c r="G70" s="3">
        <v>2.3</v>
      </c>
      <c r="H70" s="2" t="s">
        <v>187</v>
      </c>
      <c r="I70" s="4" t="s">
        <v>34</v>
      </c>
      <c r="J70" s="2" t="s">
        <v>196</v>
      </c>
      <c r="K70" s="2">
        <v>3.0</v>
      </c>
      <c r="L70" s="2">
        <v>0.2</v>
      </c>
      <c r="M70" s="2">
        <f t="shared" si="1"/>
        <v>1</v>
      </c>
      <c r="N70" s="2">
        <f t="shared" si="2"/>
        <v>3</v>
      </c>
    </row>
    <row r="71" ht="15.75" customHeight="1">
      <c r="A71" s="2" t="s">
        <v>197</v>
      </c>
      <c r="B71" s="2">
        <v>0.0</v>
      </c>
      <c r="C71" s="2">
        <v>100.0</v>
      </c>
      <c r="D71" s="2" t="s">
        <v>186</v>
      </c>
      <c r="E71" s="2" t="s">
        <v>16</v>
      </c>
      <c r="F71" s="3">
        <v>0.8</v>
      </c>
      <c r="G71" s="3">
        <v>1.8</v>
      </c>
      <c r="H71" s="2" t="s">
        <v>187</v>
      </c>
      <c r="I71" s="4" t="s">
        <v>34</v>
      </c>
      <c r="J71" s="2" t="s">
        <v>198</v>
      </c>
      <c r="K71" s="2">
        <v>3.0</v>
      </c>
      <c r="L71" s="2">
        <v>2.34</v>
      </c>
      <c r="M71" s="2">
        <f t="shared" si="1"/>
        <v>3</v>
      </c>
      <c r="N71" s="2">
        <f t="shared" si="2"/>
        <v>9</v>
      </c>
    </row>
    <row r="72" ht="15.75" customHeight="1">
      <c r="A72" s="2" t="s">
        <v>199</v>
      </c>
      <c r="B72" s="2">
        <v>0.0</v>
      </c>
      <c r="C72" s="2">
        <v>100.0</v>
      </c>
      <c r="D72" s="2" t="s">
        <v>186</v>
      </c>
      <c r="E72" s="2" t="s">
        <v>16</v>
      </c>
      <c r="F72" s="3">
        <v>1.4</v>
      </c>
      <c r="G72" s="3">
        <v>5.1</v>
      </c>
      <c r="H72" s="2" t="s">
        <v>187</v>
      </c>
      <c r="I72" s="4" t="s">
        <v>34</v>
      </c>
      <c r="J72" s="2" t="s">
        <v>200</v>
      </c>
      <c r="K72" s="2">
        <v>3.0</v>
      </c>
      <c r="L72" s="2">
        <v>1.4</v>
      </c>
      <c r="M72" s="2">
        <f t="shared" si="1"/>
        <v>1</v>
      </c>
      <c r="N72" s="2">
        <f t="shared" si="2"/>
        <v>3</v>
      </c>
    </row>
    <row r="73" ht="15.75" customHeight="1">
      <c r="A73" s="2" t="s">
        <v>201</v>
      </c>
      <c r="B73" s="2">
        <v>0.0</v>
      </c>
      <c r="C73" s="2">
        <v>100.0</v>
      </c>
      <c r="D73" s="2" t="s">
        <v>186</v>
      </c>
      <c r="E73" s="2" t="s">
        <v>16</v>
      </c>
      <c r="F73" s="3">
        <v>30.5</v>
      </c>
      <c r="G73" s="3">
        <v>39.7</v>
      </c>
      <c r="H73" s="2" t="s">
        <v>187</v>
      </c>
      <c r="I73" s="2" t="s">
        <v>202</v>
      </c>
      <c r="J73" s="2" t="s">
        <v>203</v>
      </c>
      <c r="K73" s="2">
        <v>3.0</v>
      </c>
      <c r="L73" s="2">
        <v>40.0</v>
      </c>
      <c r="M73" s="2">
        <f t="shared" si="1"/>
        <v>1</v>
      </c>
      <c r="N73" s="2">
        <f t="shared" si="2"/>
        <v>3</v>
      </c>
    </row>
    <row r="74" ht="15.75" customHeight="1">
      <c r="A74" s="2" t="s">
        <v>204</v>
      </c>
      <c r="B74" s="2">
        <v>0.0</v>
      </c>
      <c r="C74" s="2">
        <v>100.0</v>
      </c>
      <c r="D74" s="2" t="s">
        <v>186</v>
      </c>
      <c r="E74" s="2" t="s">
        <v>16</v>
      </c>
      <c r="F74" s="3">
        <v>8.6</v>
      </c>
      <c r="G74" s="3">
        <v>15.6</v>
      </c>
      <c r="H74" s="2" t="s">
        <v>187</v>
      </c>
      <c r="I74" s="2" t="s">
        <v>205</v>
      </c>
      <c r="J74" s="4" t="s">
        <v>34</v>
      </c>
      <c r="K74" s="2">
        <v>3.0</v>
      </c>
      <c r="L74" s="2">
        <v>6.02</v>
      </c>
      <c r="M74" s="2">
        <f t="shared" si="1"/>
        <v>3</v>
      </c>
      <c r="N74" s="2">
        <f t="shared" si="2"/>
        <v>9</v>
      </c>
    </row>
    <row r="75" ht="15.75" customHeight="1">
      <c r="A75" s="2" t="s">
        <v>206</v>
      </c>
      <c r="B75" s="2">
        <v>0.0</v>
      </c>
      <c r="C75" s="2">
        <v>100.0</v>
      </c>
      <c r="D75" s="2" t="s">
        <v>186</v>
      </c>
      <c r="E75" s="2" t="s">
        <v>16</v>
      </c>
      <c r="F75" s="3">
        <v>18.6</v>
      </c>
      <c r="G75" s="3">
        <v>29.5</v>
      </c>
      <c r="H75" s="2" t="s">
        <v>187</v>
      </c>
      <c r="I75" s="2" t="s">
        <v>207</v>
      </c>
      <c r="J75" s="4" t="s">
        <v>34</v>
      </c>
      <c r="K75" s="2">
        <v>3.0</v>
      </c>
      <c r="L75" s="2">
        <v>18.6</v>
      </c>
      <c r="M75" s="2">
        <f t="shared" si="1"/>
        <v>1</v>
      </c>
      <c r="N75" s="2">
        <f t="shared" si="2"/>
        <v>3</v>
      </c>
    </row>
    <row r="76" ht="15.75" customHeight="1">
      <c r="A76" s="2" t="s">
        <v>208</v>
      </c>
      <c r="B76" s="2">
        <v>18.0</v>
      </c>
      <c r="C76" s="2">
        <v>59.0</v>
      </c>
      <c r="D76" s="2" t="s">
        <v>209</v>
      </c>
      <c r="E76" s="2" t="s">
        <v>80</v>
      </c>
      <c r="F76" s="3">
        <v>1.5</v>
      </c>
      <c r="G76" s="3">
        <v>9.3</v>
      </c>
      <c r="H76" s="2" t="s">
        <v>210</v>
      </c>
      <c r="I76" s="2" t="s">
        <v>211</v>
      </c>
      <c r="J76" s="2" t="s">
        <v>212</v>
      </c>
      <c r="K76" s="2">
        <v>3.0</v>
      </c>
      <c r="L76" s="2">
        <v>1.5</v>
      </c>
      <c r="M76" s="2">
        <f t="shared" si="1"/>
        <v>1</v>
      </c>
      <c r="N76" s="2">
        <f t="shared" si="2"/>
        <v>3</v>
      </c>
    </row>
    <row r="77" ht="15.75" customHeight="1">
      <c r="A77" s="2" t="s">
        <v>208</v>
      </c>
      <c r="B77" s="2">
        <v>60.0</v>
      </c>
      <c r="C77" s="2">
        <v>100.0</v>
      </c>
      <c r="D77" s="2" t="s">
        <v>209</v>
      </c>
      <c r="E77" s="2" t="s">
        <v>80</v>
      </c>
      <c r="F77" s="3">
        <v>1.5</v>
      </c>
      <c r="G77" s="3">
        <v>9.3</v>
      </c>
      <c r="H77" s="2" t="s">
        <v>210</v>
      </c>
      <c r="I77" s="2" t="s">
        <v>211</v>
      </c>
      <c r="J77" s="2" t="s">
        <v>212</v>
      </c>
      <c r="K77" s="2">
        <v>3.0</v>
      </c>
      <c r="L77" s="2">
        <v>1.5</v>
      </c>
      <c r="M77" s="2">
        <f t="shared" si="1"/>
        <v>1</v>
      </c>
      <c r="N77" s="2">
        <f t="shared" si="2"/>
        <v>3</v>
      </c>
    </row>
    <row r="78" ht="15.75" customHeight="1">
      <c r="A78" s="2" t="s">
        <v>213</v>
      </c>
      <c r="B78" s="2">
        <v>0.0</v>
      </c>
      <c r="C78" s="2">
        <v>100.0</v>
      </c>
      <c r="D78" s="2" t="s">
        <v>209</v>
      </c>
      <c r="E78" s="2" t="s">
        <v>77</v>
      </c>
      <c r="F78" s="3">
        <v>1.9</v>
      </c>
      <c r="G78" s="3">
        <v>9.3</v>
      </c>
      <c r="H78" s="2" t="s">
        <v>210</v>
      </c>
      <c r="I78" s="2" t="s">
        <v>214</v>
      </c>
      <c r="J78" s="2" t="s">
        <v>215</v>
      </c>
      <c r="K78" s="2">
        <v>3.0</v>
      </c>
      <c r="L78" s="2">
        <v>12.09</v>
      </c>
      <c r="M78" s="2">
        <f t="shared" si="1"/>
        <v>3</v>
      </c>
      <c r="N78" s="2">
        <f t="shared" si="2"/>
        <v>9</v>
      </c>
    </row>
    <row r="79" ht="15.75" customHeight="1">
      <c r="A79" s="2" t="s">
        <v>216</v>
      </c>
      <c r="B79" s="2">
        <v>0.0</v>
      </c>
      <c r="C79" s="2">
        <v>100.0</v>
      </c>
      <c r="D79" s="2" t="s">
        <v>209</v>
      </c>
      <c r="E79" s="2" t="s">
        <v>77</v>
      </c>
      <c r="F79" s="3">
        <v>8.7</v>
      </c>
      <c r="G79" s="3">
        <v>76.3</v>
      </c>
      <c r="H79" s="2" t="s">
        <v>210</v>
      </c>
      <c r="I79" s="2" t="s">
        <v>214</v>
      </c>
      <c r="J79" s="2" t="s">
        <v>215</v>
      </c>
      <c r="K79" s="2">
        <v>3.0</v>
      </c>
      <c r="L79" s="2">
        <v>8.7</v>
      </c>
      <c r="M79" s="2">
        <f t="shared" si="1"/>
        <v>1</v>
      </c>
      <c r="N79" s="2">
        <f t="shared" si="2"/>
        <v>3</v>
      </c>
    </row>
    <row r="80" ht="15.75" customHeight="1">
      <c r="A80" s="2" t="s">
        <v>217</v>
      </c>
      <c r="B80" s="2">
        <v>0.0</v>
      </c>
      <c r="C80" s="2">
        <v>100.0</v>
      </c>
      <c r="D80" s="2" t="s">
        <v>209</v>
      </c>
      <c r="E80" s="2" t="s">
        <v>77</v>
      </c>
      <c r="F80" s="3">
        <v>0.5</v>
      </c>
      <c r="G80" s="3">
        <v>16.9</v>
      </c>
      <c r="H80" s="2" t="s">
        <v>210</v>
      </c>
      <c r="I80" s="2" t="s">
        <v>214</v>
      </c>
      <c r="J80" s="2" t="s">
        <v>215</v>
      </c>
      <c r="K80" s="2">
        <v>3.0</v>
      </c>
      <c r="L80" s="2">
        <v>0.35</v>
      </c>
      <c r="M80" s="2">
        <f t="shared" si="1"/>
        <v>3</v>
      </c>
      <c r="N80" s="2">
        <f t="shared" si="2"/>
        <v>9</v>
      </c>
    </row>
    <row r="81" ht="15.75" customHeight="1">
      <c r="A81" s="2" t="s">
        <v>218</v>
      </c>
      <c r="B81" s="2">
        <v>0.0</v>
      </c>
      <c r="C81" s="2">
        <v>100.0</v>
      </c>
      <c r="D81" s="2" t="s">
        <v>209</v>
      </c>
      <c r="E81" s="2" t="s">
        <v>77</v>
      </c>
      <c r="F81" s="3">
        <v>10.0</v>
      </c>
      <c r="G81" s="3">
        <v>54.7</v>
      </c>
      <c r="H81" s="2" t="s">
        <v>210</v>
      </c>
      <c r="I81" s="2" t="s">
        <v>214</v>
      </c>
      <c r="J81" s="2" t="s">
        <v>215</v>
      </c>
      <c r="K81" s="2">
        <v>3.0</v>
      </c>
      <c r="L81" s="2">
        <v>10.0</v>
      </c>
      <c r="M81" s="2">
        <f t="shared" si="1"/>
        <v>1</v>
      </c>
      <c r="N81" s="2">
        <f t="shared" si="2"/>
        <v>3</v>
      </c>
    </row>
    <row r="82" ht="15.75" customHeight="1">
      <c r="A82" s="2" t="s">
        <v>219</v>
      </c>
      <c r="B82" s="2">
        <v>0.0</v>
      </c>
      <c r="C82" s="2">
        <v>100.0</v>
      </c>
      <c r="D82" s="2" t="s">
        <v>209</v>
      </c>
      <c r="E82" s="2" t="s">
        <v>80</v>
      </c>
      <c r="F82" s="3">
        <v>1.4</v>
      </c>
      <c r="G82" s="3">
        <v>12.8</v>
      </c>
      <c r="H82" s="2" t="s">
        <v>210</v>
      </c>
      <c r="I82" s="2" t="s">
        <v>220</v>
      </c>
      <c r="J82" s="2" t="s">
        <v>221</v>
      </c>
      <c r="K82" s="2">
        <v>3.0</v>
      </c>
      <c r="L82" s="2">
        <v>1.4</v>
      </c>
      <c r="M82" s="2">
        <f t="shared" si="1"/>
        <v>1</v>
      </c>
      <c r="N82" s="2">
        <f t="shared" si="2"/>
        <v>3</v>
      </c>
    </row>
    <row r="83" ht="15.75" customHeight="1">
      <c r="A83" s="2" t="s">
        <v>222</v>
      </c>
      <c r="B83" s="2">
        <v>0.0</v>
      </c>
      <c r="C83" s="2">
        <v>100.0</v>
      </c>
      <c r="D83" s="2" t="s">
        <v>209</v>
      </c>
      <c r="E83" s="2" t="s">
        <v>77</v>
      </c>
      <c r="F83" s="3">
        <v>3.5</v>
      </c>
      <c r="G83" s="3">
        <v>12.5</v>
      </c>
      <c r="H83" s="2" t="s">
        <v>210</v>
      </c>
      <c r="I83" s="2" t="s">
        <v>223</v>
      </c>
      <c r="J83" s="2" t="s">
        <v>224</v>
      </c>
      <c r="K83" s="2">
        <v>3.0</v>
      </c>
      <c r="L83" s="2">
        <v>16.25</v>
      </c>
      <c r="M83" s="2">
        <f t="shared" si="1"/>
        <v>3</v>
      </c>
      <c r="N83" s="2">
        <f t="shared" si="2"/>
        <v>9</v>
      </c>
    </row>
    <row r="84" ht="15.75" customHeight="1">
      <c r="A84" s="2" t="s">
        <v>225</v>
      </c>
      <c r="B84" s="2">
        <v>0.0</v>
      </c>
      <c r="C84" s="2">
        <v>100.0</v>
      </c>
      <c r="D84" s="2" t="s">
        <v>209</v>
      </c>
      <c r="E84" s="2" t="s">
        <v>77</v>
      </c>
      <c r="F84" s="3">
        <v>4.7</v>
      </c>
      <c r="G84" s="3">
        <v>21.5</v>
      </c>
      <c r="H84" s="2" t="s">
        <v>210</v>
      </c>
      <c r="I84" s="2" t="s">
        <v>223</v>
      </c>
      <c r="J84" s="2" t="s">
        <v>224</v>
      </c>
      <c r="K84" s="2">
        <v>3.0</v>
      </c>
      <c r="L84" s="2">
        <v>4.7</v>
      </c>
      <c r="M84" s="2">
        <f t="shared" si="1"/>
        <v>1</v>
      </c>
      <c r="N84" s="2">
        <f t="shared" si="2"/>
        <v>3</v>
      </c>
    </row>
    <row r="85" ht="15.75" customHeight="1">
      <c r="A85" s="2" t="s">
        <v>226</v>
      </c>
      <c r="B85" s="2">
        <v>0.0</v>
      </c>
      <c r="C85" s="2">
        <v>100.0</v>
      </c>
      <c r="D85" s="2" t="s">
        <v>209</v>
      </c>
      <c r="E85" s="2" t="s">
        <v>77</v>
      </c>
      <c r="F85" s="3">
        <v>1.7</v>
      </c>
      <c r="G85" s="3">
        <v>7.7</v>
      </c>
      <c r="H85" s="2" t="s">
        <v>210</v>
      </c>
      <c r="I85" s="2" t="s">
        <v>223</v>
      </c>
      <c r="J85" s="2" t="s">
        <v>224</v>
      </c>
      <c r="K85" s="2">
        <v>3.0</v>
      </c>
      <c r="L85" s="2">
        <v>1.7</v>
      </c>
      <c r="M85" s="2">
        <f t="shared" si="1"/>
        <v>1</v>
      </c>
      <c r="N85" s="2">
        <f t="shared" si="2"/>
        <v>3</v>
      </c>
    </row>
    <row r="86" ht="15.75" customHeight="1">
      <c r="A86" s="2" t="s">
        <v>227</v>
      </c>
      <c r="B86" s="2">
        <v>0.0</v>
      </c>
      <c r="C86" s="2">
        <v>100.0</v>
      </c>
      <c r="D86" s="2" t="s">
        <v>209</v>
      </c>
      <c r="E86" s="2" t="s">
        <v>77</v>
      </c>
      <c r="F86" s="3">
        <v>25.8</v>
      </c>
      <c r="G86" s="3">
        <v>134.8</v>
      </c>
      <c r="H86" s="2" t="s">
        <v>210</v>
      </c>
      <c r="I86" s="2" t="s">
        <v>223</v>
      </c>
      <c r="J86" s="2" t="s">
        <v>224</v>
      </c>
      <c r="K86" s="2">
        <v>3.0</v>
      </c>
      <c r="L86" s="2">
        <v>25.8</v>
      </c>
      <c r="M86" s="2">
        <f t="shared" si="1"/>
        <v>1</v>
      </c>
      <c r="N86" s="2">
        <f t="shared" si="2"/>
        <v>3</v>
      </c>
    </row>
    <row r="87" ht="15.75" customHeight="1">
      <c r="A87" s="2" t="s">
        <v>228</v>
      </c>
      <c r="B87" s="2">
        <v>18.0</v>
      </c>
      <c r="C87" s="2">
        <v>19.9</v>
      </c>
      <c r="D87" s="2" t="s">
        <v>61</v>
      </c>
      <c r="E87" s="2" t="s">
        <v>16</v>
      </c>
      <c r="F87" s="3">
        <v>108.0</v>
      </c>
      <c r="G87" s="3">
        <v>548.0</v>
      </c>
      <c r="H87" s="2" t="s">
        <v>210</v>
      </c>
      <c r="I87" s="2" t="s">
        <v>229</v>
      </c>
      <c r="J87" s="2" t="s">
        <v>230</v>
      </c>
      <c r="K87" s="2">
        <v>3.0</v>
      </c>
      <c r="L87" s="2">
        <v>75.6</v>
      </c>
      <c r="M87" s="2">
        <f t="shared" si="1"/>
        <v>3</v>
      </c>
      <c r="N87" s="2">
        <f t="shared" si="2"/>
        <v>9</v>
      </c>
    </row>
    <row r="88" ht="15.75" customHeight="1">
      <c r="A88" s="2" t="s">
        <v>228</v>
      </c>
      <c r="B88" s="2">
        <v>20.0</v>
      </c>
      <c r="C88" s="2">
        <v>24.9</v>
      </c>
      <c r="D88" s="2" t="s">
        <v>61</v>
      </c>
      <c r="E88" s="2" t="s">
        <v>16</v>
      </c>
      <c r="F88" s="3">
        <v>83.0</v>
      </c>
      <c r="G88" s="3">
        <v>456.0</v>
      </c>
      <c r="H88" s="2" t="s">
        <v>210</v>
      </c>
      <c r="I88" s="2" t="s">
        <v>229</v>
      </c>
      <c r="J88" s="2" t="s">
        <v>230</v>
      </c>
      <c r="K88" s="2">
        <v>3.0</v>
      </c>
      <c r="L88" s="2">
        <v>592.8000000000001</v>
      </c>
      <c r="M88" s="2">
        <f t="shared" si="1"/>
        <v>3</v>
      </c>
      <c r="N88" s="2">
        <f t="shared" si="2"/>
        <v>9</v>
      </c>
    </row>
    <row r="89" ht="15.75" customHeight="1">
      <c r="A89" s="2" t="s">
        <v>228</v>
      </c>
      <c r="B89" s="2">
        <v>25.0</v>
      </c>
      <c r="C89" s="2">
        <v>29.9</v>
      </c>
      <c r="D89" s="2" t="s">
        <v>61</v>
      </c>
      <c r="E89" s="2" t="s">
        <v>16</v>
      </c>
      <c r="F89" s="3">
        <v>63.0</v>
      </c>
      <c r="G89" s="3">
        <v>373.0</v>
      </c>
      <c r="H89" s="2" t="s">
        <v>210</v>
      </c>
      <c r="I89" s="2" t="s">
        <v>229</v>
      </c>
      <c r="J89" s="2" t="s">
        <v>230</v>
      </c>
      <c r="K89" s="2">
        <v>3.0</v>
      </c>
      <c r="L89" s="2">
        <v>63.0</v>
      </c>
      <c r="M89" s="2">
        <f t="shared" si="1"/>
        <v>1</v>
      </c>
      <c r="N89" s="2">
        <f t="shared" si="2"/>
        <v>3</v>
      </c>
    </row>
    <row r="90" ht="15.75" customHeight="1">
      <c r="A90" s="2" t="s">
        <v>228</v>
      </c>
      <c r="B90" s="2">
        <v>30.0</v>
      </c>
      <c r="C90" s="2">
        <v>39.9</v>
      </c>
      <c r="D90" s="2" t="s">
        <v>61</v>
      </c>
      <c r="E90" s="2" t="s">
        <v>16</v>
      </c>
      <c r="F90" s="3">
        <v>53.0</v>
      </c>
      <c r="G90" s="3">
        <v>331.0</v>
      </c>
      <c r="H90" s="2" t="s">
        <v>210</v>
      </c>
      <c r="I90" s="2" t="s">
        <v>229</v>
      </c>
      <c r="J90" s="2" t="s">
        <v>230</v>
      </c>
      <c r="K90" s="2">
        <v>3.0</v>
      </c>
      <c r="L90" s="2">
        <v>53.0</v>
      </c>
      <c r="M90" s="2">
        <f t="shared" si="1"/>
        <v>1</v>
      </c>
      <c r="N90" s="2">
        <f t="shared" si="2"/>
        <v>3</v>
      </c>
    </row>
    <row r="91" ht="15.75" customHeight="1">
      <c r="A91" s="2" t="s">
        <v>231</v>
      </c>
      <c r="B91" s="2">
        <v>40.0</v>
      </c>
      <c r="C91" s="2">
        <v>49.9</v>
      </c>
      <c r="D91" s="2" t="s">
        <v>61</v>
      </c>
      <c r="E91" s="2" t="s">
        <v>16</v>
      </c>
      <c r="F91" s="3">
        <v>52.0</v>
      </c>
      <c r="G91" s="3">
        <v>328.0</v>
      </c>
      <c r="H91" s="2" t="s">
        <v>210</v>
      </c>
      <c r="I91" s="2" t="s">
        <v>229</v>
      </c>
      <c r="J91" s="2" t="s">
        <v>230</v>
      </c>
      <c r="K91" s="2">
        <v>3.0</v>
      </c>
      <c r="L91" s="2">
        <v>52.0</v>
      </c>
      <c r="M91" s="2">
        <f t="shared" si="1"/>
        <v>1</v>
      </c>
      <c r="N91" s="2">
        <f t="shared" si="2"/>
        <v>3</v>
      </c>
    </row>
    <row r="92" ht="15.75" customHeight="1">
      <c r="A92" s="2" t="s">
        <v>228</v>
      </c>
      <c r="B92" s="2">
        <v>50.0</v>
      </c>
      <c r="C92" s="2">
        <v>59.9</v>
      </c>
      <c r="D92" s="2" t="s">
        <v>61</v>
      </c>
      <c r="E92" s="2" t="s">
        <v>16</v>
      </c>
      <c r="F92" s="3">
        <v>50.0</v>
      </c>
      <c r="G92" s="3">
        <v>317.0</v>
      </c>
      <c r="H92" s="2" t="s">
        <v>210</v>
      </c>
      <c r="I92" s="2" t="s">
        <v>229</v>
      </c>
      <c r="J92" s="2" t="s">
        <v>230</v>
      </c>
      <c r="K92" s="2">
        <v>3.0</v>
      </c>
      <c r="L92" s="2">
        <v>50.0</v>
      </c>
      <c r="M92" s="2">
        <f t="shared" si="1"/>
        <v>1</v>
      </c>
      <c r="N92" s="2">
        <f t="shared" si="2"/>
        <v>3</v>
      </c>
    </row>
    <row r="93" ht="15.75" customHeight="1">
      <c r="A93" s="2" t="s">
        <v>228</v>
      </c>
      <c r="B93" s="2">
        <v>60.0</v>
      </c>
      <c r="C93" s="2">
        <v>69.9</v>
      </c>
      <c r="D93" s="2" t="s">
        <v>61</v>
      </c>
      <c r="E93" s="2" t="s">
        <v>16</v>
      </c>
      <c r="F93" s="3">
        <v>41.0</v>
      </c>
      <c r="G93" s="3">
        <v>279.0</v>
      </c>
      <c r="H93" s="2" t="s">
        <v>210</v>
      </c>
      <c r="I93" s="2" t="s">
        <v>229</v>
      </c>
      <c r="J93" s="2" t="s">
        <v>230</v>
      </c>
      <c r="K93" s="2">
        <v>3.0</v>
      </c>
      <c r="L93" s="2">
        <v>362.7</v>
      </c>
      <c r="M93" s="2">
        <f t="shared" si="1"/>
        <v>3</v>
      </c>
      <c r="N93" s="2">
        <f t="shared" si="2"/>
        <v>9</v>
      </c>
    </row>
    <row r="94" ht="15.75" customHeight="1">
      <c r="A94" s="2" t="s">
        <v>228</v>
      </c>
      <c r="B94" s="2">
        <v>70.0</v>
      </c>
      <c r="C94" s="2">
        <v>79.9</v>
      </c>
      <c r="D94" s="2" t="s">
        <v>61</v>
      </c>
      <c r="E94" s="2" t="s">
        <v>16</v>
      </c>
      <c r="F94" s="3">
        <v>34.0</v>
      </c>
      <c r="G94" s="3">
        <v>245.0</v>
      </c>
      <c r="H94" s="2" t="s">
        <v>210</v>
      </c>
      <c r="I94" s="2" t="s">
        <v>229</v>
      </c>
      <c r="J94" s="2" t="s">
        <v>230</v>
      </c>
      <c r="K94" s="2">
        <v>3.0</v>
      </c>
      <c r="L94" s="2">
        <v>23.8</v>
      </c>
      <c r="M94" s="2">
        <f t="shared" si="1"/>
        <v>3</v>
      </c>
      <c r="N94" s="2">
        <f t="shared" si="2"/>
        <v>9</v>
      </c>
    </row>
    <row r="95" ht="15.75" customHeight="1">
      <c r="A95" s="2" t="s">
        <v>228</v>
      </c>
      <c r="B95" s="2">
        <v>80.0</v>
      </c>
      <c r="C95" s="2">
        <v>100.0</v>
      </c>
      <c r="D95" s="2" t="s">
        <v>61</v>
      </c>
      <c r="E95" s="2" t="s">
        <v>16</v>
      </c>
      <c r="F95" s="3">
        <v>34.0</v>
      </c>
      <c r="G95" s="3">
        <v>246.0</v>
      </c>
      <c r="H95" s="2" t="s">
        <v>210</v>
      </c>
      <c r="I95" s="2" t="s">
        <v>229</v>
      </c>
      <c r="J95" s="2" t="s">
        <v>230</v>
      </c>
      <c r="K95" s="2">
        <v>3.0</v>
      </c>
      <c r="L95" s="2">
        <v>34.0</v>
      </c>
      <c r="M95" s="2">
        <f t="shared" si="1"/>
        <v>1</v>
      </c>
      <c r="N95" s="2">
        <f t="shared" si="2"/>
        <v>3</v>
      </c>
    </row>
    <row r="96" ht="15.75" customHeight="1">
      <c r="A96" s="2" t="s">
        <v>232</v>
      </c>
      <c r="B96" s="2">
        <v>0.0</v>
      </c>
      <c r="C96" s="2">
        <v>100.0</v>
      </c>
      <c r="D96" s="2" t="s">
        <v>233</v>
      </c>
      <c r="E96" s="2" t="s">
        <v>16</v>
      </c>
      <c r="F96" s="3">
        <v>1.8</v>
      </c>
      <c r="G96" s="3">
        <v>3.0</v>
      </c>
      <c r="H96" s="2" t="s">
        <v>234</v>
      </c>
      <c r="I96" s="2" t="s">
        <v>235</v>
      </c>
      <c r="J96" s="2" t="s">
        <v>236</v>
      </c>
      <c r="K96" s="2">
        <v>4.0</v>
      </c>
      <c r="L96" s="2">
        <v>1.8</v>
      </c>
      <c r="M96" s="2">
        <f t="shared" si="1"/>
        <v>1</v>
      </c>
      <c r="N96" s="2">
        <f t="shared" si="2"/>
        <v>4</v>
      </c>
    </row>
    <row r="97" ht="15.75" customHeight="1">
      <c r="A97" s="2" t="s">
        <v>237</v>
      </c>
      <c r="B97" s="2">
        <v>0.0</v>
      </c>
      <c r="C97" s="2">
        <v>100.0</v>
      </c>
      <c r="D97" s="2" t="s">
        <v>49</v>
      </c>
      <c r="E97" s="2" t="s">
        <v>16</v>
      </c>
      <c r="F97" s="3">
        <v>6.0</v>
      </c>
      <c r="G97" s="3">
        <v>12.0</v>
      </c>
      <c r="H97" s="2" t="s">
        <v>234</v>
      </c>
      <c r="I97" s="2" t="s">
        <v>238</v>
      </c>
      <c r="J97" s="2" t="s">
        <v>239</v>
      </c>
      <c r="K97" s="2">
        <v>4.0</v>
      </c>
      <c r="L97" s="2">
        <v>6.0</v>
      </c>
      <c r="M97" s="2">
        <f t="shared" si="1"/>
        <v>1</v>
      </c>
      <c r="N97" s="2">
        <f t="shared" si="2"/>
        <v>4</v>
      </c>
    </row>
    <row r="98" ht="15.75" customHeight="1">
      <c r="A98" s="2" t="s">
        <v>240</v>
      </c>
      <c r="B98" s="2">
        <v>0.0</v>
      </c>
      <c r="C98" s="2">
        <v>100.0</v>
      </c>
      <c r="D98" s="2" t="s">
        <v>21</v>
      </c>
      <c r="E98" s="2" t="s">
        <v>16</v>
      </c>
      <c r="F98" s="3">
        <v>28.0</v>
      </c>
      <c r="G98" s="3">
        <v>38.0</v>
      </c>
      <c r="H98" s="2" t="s">
        <v>234</v>
      </c>
      <c r="I98" s="2" t="s">
        <v>241</v>
      </c>
      <c r="J98" s="2" t="s">
        <v>242</v>
      </c>
      <c r="K98" s="2">
        <v>2.0</v>
      </c>
      <c r="L98" s="2">
        <v>49.4</v>
      </c>
      <c r="M98" s="2">
        <f t="shared" si="1"/>
        <v>3</v>
      </c>
      <c r="N98" s="2">
        <f t="shared" si="2"/>
        <v>6</v>
      </c>
    </row>
    <row r="99" ht="15.75" customHeight="1">
      <c r="A99" s="2" t="s">
        <v>243</v>
      </c>
      <c r="B99" s="2">
        <v>0.0</v>
      </c>
      <c r="C99" s="2">
        <v>100.0</v>
      </c>
      <c r="D99" s="2" t="s">
        <v>15</v>
      </c>
      <c r="E99" s="2" t="s">
        <v>16</v>
      </c>
      <c r="F99" s="3">
        <v>1.2</v>
      </c>
      <c r="G99" s="3">
        <v>4.9</v>
      </c>
      <c r="H99" s="2" t="s">
        <v>234</v>
      </c>
      <c r="I99" s="2" t="s">
        <v>244</v>
      </c>
      <c r="J99" s="2" t="s">
        <v>245</v>
      </c>
      <c r="K99" s="2">
        <v>2.0</v>
      </c>
      <c r="L99" s="2">
        <v>1.2</v>
      </c>
      <c r="M99" s="2">
        <f t="shared" si="1"/>
        <v>1</v>
      </c>
      <c r="N99" s="2">
        <f t="shared" si="2"/>
        <v>2</v>
      </c>
    </row>
    <row r="100" ht="15.75" customHeight="1">
      <c r="A100" s="2" t="s">
        <v>246</v>
      </c>
      <c r="B100" s="2">
        <v>0.0</v>
      </c>
      <c r="C100" s="2">
        <v>100.0</v>
      </c>
      <c r="E100" s="2" t="s">
        <v>16</v>
      </c>
      <c r="F100" s="3">
        <v>100.0</v>
      </c>
      <c r="G100" s="3">
        <v>180.0</v>
      </c>
      <c r="H100" s="2" t="s">
        <v>234</v>
      </c>
      <c r="I100" s="2" t="s">
        <v>247</v>
      </c>
      <c r="J100" s="2" t="s">
        <v>248</v>
      </c>
      <c r="K100" s="2">
        <v>4.0</v>
      </c>
      <c r="L100" s="2">
        <v>100.0</v>
      </c>
      <c r="M100" s="2">
        <f t="shared" si="1"/>
        <v>1</v>
      </c>
      <c r="N100" s="2">
        <f t="shared" si="2"/>
        <v>4</v>
      </c>
    </row>
    <row r="101" ht="15.75" customHeight="1">
      <c r="A101" s="2" t="s">
        <v>249</v>
      </c>
      <c r="B101" s="2">
        <v>0.0</v>
      </c>
      <c r="C101" s="2">
        <v>100.0</v>
      </c>
      <c r="D101" s="2" t="s">
        <v>250</v>
      </c>
      <c r="E101" s="2" t="s">
        <v>16</v>
      </c>
      <c r="F101" s="3">
        <v>3.0</v>
      </c>
      <c r="G101" s="3">
        <v>4.0</v>
      </c>
      <c r="H101" s="2" t="s">
        <v>234</v>
      </c>
      <c r="I101" s="2" t="s">
        <v>251</v>
      </c>
      <c r="J101" s="2" t="s">
        <v>252</v>
      </c>
      <c r="K101" s="2">
        <v>4.0</v>
      </c>
      <c r="L101" s="2">
        <v>2.1</v>
      </c>
      <c r="M101" s="2">
        <f t="shared" si="1"/>
        <v>3</v>
      </c>
      <c r="N101" s="2">
        <f t="shared" si="2"/>
        <v>12</v>
      </c>
    </row>
    <row r="102" ht="15.75" customHeight="1">
      <c r="A102" s="2" t="s">
        <v>253</v>
      </c>
      <c r="B102" s="2">
        <v>0.0</v>
      </c>
      <c r="C102" s="2">
        <v>100.0</v>
      </c>
      <c r="D102" s="2" t="s">
        <v>254</v>
      </c>
      <c r="E102" s="2" t="s">
        <v>16</v>
      </c>
      <c r="F102" s="3">
        <v>9.2</v>
      </c>
      <c r="G102" s="3">
        <v>24.1</v>
      </c>
      <c r="H102" s="2" t="s">
        <v>234</v>
      </c>
      <c r="I102" s="2" t="s">
        <v>255</v>
      </c>
      <c r="J102" s="2" t="s">
        <v>256</v>
      </c>
      <c r="K102" s="2">
        <v>2.0</v>
      </c>
      <c r="L102" s="2">
        <v>9.2</v>
      </c>
      <c r="M102" s="2">
        <f t="shared" si="1"/>
        <v>1</v>
      </c>
      <c r="N102" s="2">
        <f t="shared" si="2"/>
        <v>2</v>
      </c>
    </row>
    <row r="103" ht="15.75" customHeight="1">
      <c r="A103" s="2" t="s">
        <v>257</v>
      </c>
      <c r="B103" s="2">
        <v>0.0</v>
      </c>
      <c r="C103" s="2">
        <v>100.0</v>
      </c>
      <c r="D103" s="2" t="s">
        <v>254</v>
      </c>
      <c r="E103" s="2" t="s">
        <v>16</v>
      </c>
      <c r="F103" s="3">
        <v>1.0</v>
      </c>
      <c r="G103" s="3">
        <v>1.5</v>
      </c>
      <c r="H103" s="2" t="s">
        <v>234</v>
      </c>
      <c r="I103" s="2" t="s">
        <v>258</v>
      </c>
      <c r="J103" s="2" t="s">
        <v>259</v>
      </c>
      <c r="K103" s="2">
        <v>2.0</v>
      </c>
      <c r="L103" s="2">
        <v>1.95</v>
      </c>
      <c r="M103" s="2">
        <f t="shared" si="1"/>
        <v>3</v>
      </c>
      <c r="N103" s="2">
        <f t="shared" si="2"/>
        <v>6</v>
      </c>
    </row>
    <row r="104" ht="15.75" customHeight="1">
      <c r="A104" s="2" t="s">
        <v>260</v>
      </c>
      <c r="B104" s="2">
        <v>0.0</v>
      </c>
      <c r="C104" s="2">
        <v>100.0</v>
      </c>
      <c r="D104" s="2" t="s">
        <v>261</v>
      </c>
      <c r="E104" s="2" t="s">
        <v>16</v>
      </c>
      <c r="F104" s="3">
        <v>18.0</v>
      </c>
      <c r="G104" s="3">
        <v>27.0</v>
      </c>
      <c r="H104" s="2" t="s">
        <v>234</v>
      </c>
      <c r="I104" s="2" t="s">
        <v>262</v>
      </c>
      <c r="J104" s="2" t="s">
        <v>263</v>
      </c>
      <c r="K104" s="2">
        <v>2.0</v>
      </c>
      <c r="L104" s="2">
        <v>18.0</v>
      </c>
      <c r="M104" s="2">
        <f t="shared" si="1"/>
        <v>1</v>
      </c>
      <c r="N104" s="2">
        <f t="shared" si="2"/>
        <v>2</v>
      </c>
    </row>
    <row r="105" ht="15.75" customHeight="1">
      <c r="A105" s="2" t="s">
        <v>264</v>
      </c>
      <c r="B105" s="2">
        <v>0.0</v>
      </c>
      <c r="C105" s="2">
        <v>100.0</v>
      </c>
      <c r="D105" s="2" t="s">
        <v>49</v>
      </c>
      <c r="E105" s="2" t="s">
        <v>16</v>
      </c>
      <c r="F105" s="3">
        <v>6.2</v>
      </c>
      <c r="G105" s="3">
        <v>19.4</v>
      </c>
      <c r="H105" s="2" t="s">
        <v>265</v>
      </c>
      <c r="I105" s="2" t="s">
        <v>266</v>
      </c>
      <c r="J105" s="2" t="s">
        <v>267</v>
      </c>
      <c r="K105" s="2">
        <v>2.0</v>
      </c>
      <c r="L105" s="2">
        <v>6.2</v>
      </c>
      <c r="M105" s="2">
        <f t="shared" si="1"/>
        <v>1</v>
      </c>
      <c r="N105" s="2">
        <f t="shared" si="2"/>
        <v>2</v>
      </c>
    </row>
    <row r="106" ht="15.75" customHeight="1">
      <c r="A106" s="2" t="s">
        <v>268</v>
      </c>
      <c r="B106" s="2">
        <v>0.0</v>
      </c>
      <c r="C106" s="2">
        <v>100.0</v>
      </c>
      <c r="D106" s="2" t="s">
        <v>49</v>
      </c>
      <c r="E106" s="2" t="s">
        <v>16</v>
      </c>
      <c r="F106" s="3">
        <v>2.3</v>
      </c>
      <c r="G106" s="3">
        <v>11.9</v>
      </c>
      <c r="H106" s="2" t="s">
        <v>265</v>
      </c>
      <c r="I106" s="2" t="s">
        <v>269</v>
      </c>
      <c r="J106" s="4" t="s">
        <v>34</v>
      </c>
      <c r="K106" s="2">
        <v>2.0</v>
      </c>
      <c r="L106" s="2">
        <v>2.3</v>
      </c>
      <c r="M106" s="2">
        <f t="shared" si="1"/>
        <v>1</v>
      </c>
      <c r="N106" s="2">
        <f t="shared" si="2"/>
        <v>2</v>
      </c>
    </row>
    <row r="107" ht="15.75" customHeight="1">
      <c r="A107" s="2" t="s">
        <v>270</v>
      </c>
      <c r="B107" s="2">
        <v>18.0</v>
      </c>
      <c r="C107" s="2">
        <v>21.0</v>
      </c>
      <c r="D107" s="2" t="s">
        <v>271</v>
      </c>
      <c r="E107" s="2" t="s">
        <v>80</v>
      </c>
      <c r="F107" s="3">
        <v>20.0</v>
      </c>
      <c r="G107" s="3">
        <v>480.0</v>
      </c>
      <c r="H107" s="2" t="s">
        <v>265</v>
      </c>
      <c r="I107" s="2" t="s">
        <v>272</v>
      </c>
      <c r="J107" s="2" t="s">
        <v>273</v>
      </c>
      <c r="K107" s="2">
        <v>3.0</v>
      </c>
      <c r="L107" s="2">
        <v>20.0</v>
      </c>
      <c r="M107" s="2">
        <f t="shared" si="1"/>
        <v>1</v>
      </c>
      <c r="N107" s="2">
        <f t="shared" si="2"/>
        <v>3</v>
      </c>
    </row>
    <row r="108" ht="15.75" customHeight="1">
      <c r="A108" s="2" t="s">
        <v>270</v>
      </c>
      <c r="B108" s="2">
        <v>18.0</v>
      </c>
      <c r="C108" s="2">
        <v>21.0</v>
      </c>
      <c r="D108" s="2" t="s">
        <v>271</v>
      </c>
      <c r="E108" s="2" t="s">
        <v>77</v>
      </c>
      <c r="F108" s="3">
        <v>44.0</v>
      </c>
      <c r="G108" s="3">
        <v>286.0</v>
      </c>
      <c r="H108" s="2" t="s">
        <v>265</v>
      </c>
      <c r="I108" s="2" t="s">
        <v>274</v>
      </c>
      <c r="J108" s="2" t="s">
        <v>273</v>
      </c>
      <c r="K108" s="2">
        <v>3.0</v>
      </c>
      <c r="L108" s="2">
        <v>30.8</v>
      </c>
      <c r="M108" s="2">
        <f t="shared" si="1"/>
        <v>3</v>
      </c>
      <c r="N108" s="2">
        <f t="shared" si="2"/>
        <v>9</v>
      </c>
    </row>
    <row r="109" ht="15.75" customHeight="1">
      <c r="A109" s="2" t="s">
        <v>270</v>
      </c>
      <c r="B109" s="2">
        <v>22.0</v>
      </c>
      <c r="C109" s="2">
        <v>30.0</v>
      </c>
      <c r="D109" s="2" t="s">
        <v>271</v>
      </c>
      <c r="E109" s="2" t="s">
        <v>80</v>
      </c>
      <c r="F109" s="3">
        <v>74.0</v>
      </c>
      <c r="G109" s="3">
        <v>617.0</v>
      </c>
      <c r="H109" s="2" t="s">
        <v>265</v>
      </c>
      <c r="I109" s="2" t="s">
        <v>272</v>
      </c>
      <c r="J109" s="2" t="s">
        <v>273</v>
      </c>
      <c r="K109" s="2">
        <v>3.0</v>
      </c>
      <c r="L109" s="2">
        <v>74.0</v>
      </c>
      <c r="M109" s="2">
        <f t="shared" si="1"/>
        <v>1</v>
      </c>
      <c r="N109" s="2">
        <f t="shared" si="2"/>
        <v>3</v>
      </c>
    </row>
    <row r="110" ht="15.75" customHeight="1">
      <c r="A110" s="2" t="s">
        <v>270</v>
      </c>
      <c r="B110" s="2">
        <v>22.0</v>
      </c>
      <c r="C110" s="2">
        <v>30.0</v>
      </c>
      <c r="D110" s="2" t="s">
        <v>271</v>
      </c>
      <c r="E110" s="2" t="s">
        <v>77</v>
      </c>
      <c r="F110" s="3">
        <v>14.0</v>
      </c>
      <c r="G110" s="3">
        <v>349.0</v>
      </c>
      <c r="H110" s="2" t="s">
        <v>265</v>
      </c>
      <c r="I110" s="2" t="s">
        <v>274</v>
      </c>
      <c r="J110" s="2" t="s">
        <v>273</v>
      </c>
      <c r="K110" s="2">
        <v>3.0</v>
      </c>
      <c r="L110" s="2">
        <v>14.0</v>
      </c>
      <c r="M110" s="2">
        <f t="shared" si="1"/>
        <v>1</v>
      </c>
      <c r="N110" s="2">
        <f t="shared" si="2"/>
        <v>3</v>
      </c>
    </row>
    <row r="111" ht="15.75" customHeight="1">
      <c r="A111" s="2" t="s">
        <v>270</v>
      </c>
      <c r="B111" s="2">
        <v>31.0</v>
      </c>
      <c r="C111" s="2">
        <v>40.0</v>
      </c>
      <c r="D111" s="2" t="s">
        <v>271</v>
      </c>
      <c r="E111" s="2" t="s">
        <v>80</v>
      </c>
      <c r="F111" s="3">
        <v>93.0</v>
      </c>
      <c r="G111" s="3">
        <v>415.0</v>
      </c>
      <c r="H111" s="2" t="s">
        <v>265</v>
      </c>
      <c r="I111" s="2" t="s">
        <v>272</v>
      </c>
      <c r="J111" s="2" t="s">
        <v>273</v>
      </c>
      <c r="K111" s="2">
        <v>3.0</v>
      </c>
      <c r="L111" s="2">
        <v>93.0</v>
      </c>
      <c r="M111" s="2">
        <f t="shared" si="1"/>
        <v>1</v>
      </c>
      <c r="N111" s="2">
        <f t="shared" si="2"/>
        <v>3</v>
      </c>
    </row>
    <row r="112" ht="15.75" customHeight="1">
      <c r="A112" s="2" t="s">
        <v>270</v>
      </c>
      <c r="B112" s="2">
        <v>31.0</v>
      </c>
      <c r="C112" s="2">
        <v>40.0</v>
      </c>
      <c r="D112" s="2" t="s">
        <v>271</v>
      </c>
      <c r="E112" s="2" t="s">
        <v>77</v>
      </c>
      <c r="F112" s="3">
        <v>19.0</v>
      </c>
      <c r="G112" s="3">
        <v>237.0</v>
      </c>
      <c r="H112" s="2" t="s">
        <v>265</v>
      </c>
      <c r="I112" s="2" t="s">
        <v>274</v>
      </c>
      <c r="J112" s="2" t="s">
        <v>273</v>
      </c>
      <c r="K112" s="2">
        <v>3.0</v>
      </c>
      <c r="L112" s="2">
        <v>19.0</v>
      </c>
      <c r="M112" s="2">
        <f t="shared" si="1"/>
        <v>1</v>
      </c>
      <c r="N112" s="2">
        <f t="shared" si="2"/>
        <v>3</v>
      </c>
    </row>
    <row r="113" ht="15.75" customHeight="1">
      <c r="A113" s="2" t="s">
        <v>270</v>
      </c>
      <c r="B113" s="2">
        <v>41.0</v>
      </c>
      <c r="C113" s="2">
        <v>50.0</v>
      </c>
      <c r="D113" s="2" t="s">
        <v>271</v>
      </c>
      <c r="E113" s="2" t="s">
        <v>80</v>
      </c>
      <c r="F113" s="3">
        <v>61.0</v>
      </c>
      <c r="G113" s="3">
        <v>442.0</v>
      </c>
      <c r="H113" s="2" t="s">
        <v>265</v>
      </c>
      <c r="I113" s="2" t="s">
        <v>272</v>
      </c>
      <c r="J113" s="2" t="s">
        <v>273</v>
      </c>
      <c r="K113" s="2">
        <v>3.0</v>
      </c>
      <c r="L113" s="2">
        <v>574.6</v>
      </c>
      <c r="M113" s="2">
        <f t="shared" si="1"/>
        <v>3</v>
      </c>
      <c r="N113" s="2">
        <f t="shared" si="2"/>
        <v>9</v>
      </c>
    </row>
    <row r="114" ht="15.75" customHeight="1">
      <c r="A114" s="2" t="s">
        <v>270</v>
      </c>
      <c r="B114" s="2">
        <v>41.0</v>
      </c>
      <c r="C114" s="2">
        <v>50.0</v>
      </c>
      <c r="D114" s="2" t="s">
        <v>271</v>
      </c>
      <c r="E114" s="2" t="s">
        <v>77</v>
      </c>
      <c r="F114" s="3">
        <v>15.0</v>
      </c>
      <c r="G114" s="3">
        <v>205.0</v>
      </c>
      <c r="H114" s="2" t="s">
        <v>265</v>
      </c>
      <c r="I114" s="2" t="s">
        <v>274</v>
      </c>
      <c r="J114" s="2" t="s">
        <v>273</v>
      </c>
      <c r="K114" s="2">
        <v>3.0</v>
      </c>
      <c r="L114" s="2">
        <v>15.0</v>
      </c>
      <c r="M114" s="2">
        <f t="shared" si="1"/>
        <v>1</v>
      </c>
      <c r="N114" s="2">
        <f t="shared" si="2"/>
        <v>3</v>
      </c>
    </row>
    <row r="115" ht="15.75" customHeight="1">
      <c r="A115" s="2" t="s">
        <v>270</v>
      </c>
      <c r="B115" s="2">
        <v>51.0</v>
      </c>
      <c r="C115" s="2">
        <v>60.0</v>
      </c>
      <c r="D115" s="2" t="s">
        <v>271</v>
      </c>
      <c r="E115" s="2" t="s">
        <v>80</v>
      </c>
      <c r="F115" s="3">
        <v>32.0</v>
      </c>
      <c r="G115" s="3">
        <v>279.0</v>
      </c>
      <c r="H115" s="2" t="s">
        <v>265</v>
      </c>
      <c r="I115" s="2" t="s">
        <v>272</v>
      </c>
      <c r="J115" s="2" t="s">
        <v>273</v>
      </c>
      <c r="K115" s="2">
        <v>3.0</v>
      </c>
      <c r="L115" s="2">
        <v>22.4</v>
      </c>
      <c r="M115" s="2">
        <f t="shared" si="1"/>
        <v>3</v>
      </c>
      <c r="N115" s="2">
        <f t="shared" si="2"/>
        <v>9</v>
      </c>
    </row>
    <row r="116" ht="15.75" customHeight="1">
      <c r="A116" s="2" t="s">
        <v>270</v>
      </c>
      <c r="B116" s="2">
        <v>51.0</v>
      </c>
      <c r="C116" s="2">
        <v>60.0</v>
      </c>
      <c r="D116" s="2" t="s">
        <v>271</v>
      </c>
      <c r="E116" s="2" t="s">
        <v>77</v>
      </c>
      <c r="F116" s="3">
        <v>5.0</v>
      </c>
      <c r="G116" s="3">
        <v>167.0</v>
      </c>
      <c r="H116" s="2" t="s">
        <v>265</v>
      </c>
      <c r="I116" s="2" t="s">
        <v>274</v>
      </c>
      <c r="J116" s="2" t="s">
        <v>273</v>
      </c>
      <c r="K116" s="2">
        <v>3.0</v>
      </c>
      <c r="L116" s="2">
        <v>5.0</v>
      </c>
      <c r="M116" s="2">
        <f t="shared" si="1"/>
        <v>1</v>
      </c>
      <c r="N116" s="2">
        <f t="shared" si="2"/>
        <v>3</v>
      </c>
    </row>
    <row r="117" ht="15.75" customHeight="1">
      <c r="A117" s="2" t="s">
        <v>270</v>
      </c>
      <c r="B117" s="2">
        <v>61.0</v>
      </c>
      <c r="C117" s="2">
        <v>70.0</v>
      </c>
      <c r="D117" s="2" t="s">
        <v>271</v>
      </c>
      <c r="E117" s="2" t="s">
        <v>80</v>
      </c>
      <c r="F117" s="3">
        <v>20.0</v>
      </c>
      <c r="G117" s="3">
        <v>217.0</v>
      </c>
      <c r="H117" s="2" t="s">
        <v>265</v>
      </c>
      <c r="I117" s="2" t="s">
        <v>272</v>
      </c>
      <c r="J117" s="2" t="s">
        <v>273</v>
      </c>
      <c r="K117" s="2">
        <v>3.0</v>
      </c>
      <c r="L117" s="2">
        <v>20.0</v>
      </c>
      <c r="M117" s="2">
        <f t="shared" si="1"/>
        <v>1</v>
      </c>
      <c r="N117" s="2">
        <f t="shared" si="2"/>
        <v>3</v>
      </c>
    </row>
    <row r="118" ht="15.75" customHeight="1">
      <c r="A118" s="2" t="s">
        <v>270</v>
      </c>
      <c r="B118" s="2">
        <v>61.0</v>
      </c>
      <c r="C118" s="2">
        <v>70.0</v>
      </c>
      <c r="D118" s="2" t="s">
        <v>271</v>
      </c>
      <c r="E118" s="2" t="s">
        <v>77</v>
      </c>
      <c r="F118" s="3">
        <v>9.0</v>
      </c>
      <c r="G118" s="3">
        <v>118.0</v>
      </c>
      <c r="H118" s="2" t="s">
        <v>265</v>
      </c>
      <c r="I118" s="2" t="s">
        <v>274</v>
      </c>
      <c r="J118" s="2" t="s">
        <v>273</v>
      </c>
      <c r="K118" s="2">
        <v>3.0</v>
      </c>
      <c r="L118" s="2">
        <v>153.4</v>
      </c>
      <c r="M118" s="2">
        <f t="shared" si="1"/>
        <v>3</v>
      </c>
      <c r="N118" s="2">
        <f t="shared" si="2"/>
        <v>9</v>
      </c>
    </row>
    <row r="119" ht="15.75" customHeight="1">
      <c r="A119" s="2" t="s">
        <v>270</v>
      </c>
      <c r="B119" s="2">
        <v>70.0</v>
      </c>
      <c r="C119" s="2">
        <v>100.0</v>
      </c>
      <c r="D119" s="2" t="s">
        <v>271</v>
      </c>
      <c r="E119" s="2" t="s">
        <v>80</v>
      </c>
      <c r="F119" s="3">
        <v>3.0</v>
      </c>
      <c r="G119" s="3">
        <v>225.0</v>
      </c>
      <c r="H119" s="2" t="s">
        <v>265</v>
      </c>
      <c r="I119" s="2" t="s">
        <v>272</v>
      </c>
      <c r="J119" s="2" t="s">
        <v>273</v>
      </c>
      <c r="K119" s="2">
        <v>3.0</v>
      </c>
      <c r="L119" s="2">
        <v>3.0</v>
      </c>
      <c r="M119" s="2">
        <f t="shared" si="1"/>
        <v>1</v>
      </c>
      <c r="N119" s="2">
        <f t="shared" si="2"/>
        <v>3</v>
      </c>
    </row>
    <row r="120" ht="15.75" customHeight="1">
      <c r="A120" s="2" t="s">
        <v>270</v>
      </c>
      <c r="B120" s="2">
        <v>70.0</v>
      </c>
      <c r="C120" s="2">
        <v>100.0</v>
      </c>
      <c r="D120" s="2" t="s">
        <v>271</v>
      </c>
      <c r="E120" s="2" t="s">
        <v>77</v>
      </c>
      <c r="F120" s="3">
        <v>4.0</v>
      </c>
      <c r="G120" s="3">
        <v>157.0</v>
      </c>
      <c r="H120" s="2" t="s">
        <v>265</v>
      </c>
      <c r="I120" s="2" t="s">
        <v>274</v>
      </c>
      <c r="J120" s="2" t="s">
        <v>273</v>
      </c>
      <c r="K120" s="2">
        <v>3.0</v>
      </c>
      <c r="L120" s="2">
        <v>4.0</v>
      </c>
      <c r="M120" s="2">
        <f t="shared" si="1"/>
        <v>1</v>
      </c>
      <c r="N120" s="2">
        <f t="shared" si="2"/>
        <v>3</v>
      </c>
    </row>
    <row r="121" ht="15.75" customHeight="1">
      <c r="A121" s="2" t="s">
        <v>275</v>
      </c>
      <c r="B121" s="2">
        <v>0.0</v>
      </c>
      <c r="C121" s="2">
        <v>100.0</v>
      </c>
      <c r="D121" s="2" t="s">
        <v>254</v>
      </c>
      <c r="E121" s="2" t="s">
        <v>16</v>
      </c>
      <c r="F121" s="3">
        <v>22.0</v>
      </c>
      <c r="G121" s="3">
        <v>237.0</v>
      </c>
      <c r="H121" s="2" t="s">
        <v>265</v>
      </c>
      <c r="I121" s="2" t="s">
        <v>276</v>
      </c>
      <c r="J121" s="2" t="s">
        <v>277</v>
      </c>
      <c r="K121" s="2">
        <v>3.0</v>
      </c>
      <c r="L121" s="2">
        <v>5.0</v>
      </c>
      <c r="M121" s="2">
        <f t="shared" si="1"/>
        <v>3</v>
      </c>
      <c r="N121" s="2">
        <f t="shared" si="2"/>
        <v>9</v>
      </c>
    </row>
    <row r="122" ht="15.75" customHeight="1">
      <c r="A122" s="2" t="s">
        <v>278</v>
      </c>
      <c r="B122" s="2">
        <v>0.0</v>
      </c>
      <c r="C122" s="2">
        <v>100.0</v>
      </c>
      <c r="D122" s="2" t="s">
        <v>250</v>
      </c>
      <c r="E122" s="2" t="s">
        <v>80</v>
      </c>
      <c r="F122" s="3">
        <v>0.1</v>
      </c>
      <c r="G122" s="3">
        <v>68.0</v>
      </c>
      <c r="H122" s="2" t="s">
        <v>265</v>
      </c>
      <c r="I122" s="2" t="s">
        <v>279</v>
      </c>
      <c r="J122" s="4" t="s">
        <v>34</v>
      </c>
      <c r="K122" s="2">
        <v>3.0</v>
      </c>
      <c r="L122" s="2">
        <v>55.0</v>
      </c>
      <c r="M122" s="2">
        <f t="shared" si="1"/>
        <v>1</v>
      </c>
      <c r="N122" s="2">
        <f t="shared" si="2"/>
        <v>3</v>
      </c>
    </row>
    <row r="123" ht="15.75" customHeight="1">
      <c r="A123" s="2" t="s">
        <v>280</v>
      </c>
      <c r="B123" s="2">
        <v>0.0</v>
      </c>
      <c r="C123" s="2">
        <v>100.0</v>
      </c>
      <c r="D123" s="2" t="s">
        <v>250</v>
      </c>
      <c r="E123" s="2" t="s">
        <v>80</v>
      </c>
      <c r="F123" s="3">
        <v>0.1</v>
      </c>
      <c r="G123" s="3">
        <v>39.0</v>
      </c>
      <c r="H123" s="2" t="s">
        <v>265</v>
      </c>
      <c r="I123" s="2" t="s">
        <v>279</v>
      </c>
      <c r="J123" s="4" t="s">
        <v>34</v>
      </c>
      <c r="K123" s="2">
        <v>3.0</v>
      </c>
      <c r="L123" s="2">
        <v>50.7</v>
      </c>
      <c r="M123" s="2">
        <f t="shared" si="1"/>
        <v>3</v>
      </c>
      <c r="N123" s="2">
        <f t="shared" si="2"/>
        <v>9</v>
      </c>
    </row>
    <row r="124" ht="15.75" customHeight="1">
      <c r="A124" s="2" t="s">
        <v>281</v>
      </c>
      <c r="B124" s="2">
        <v>0.0</v>
      </c>
      <c r="C124" s="2">
        <v>100.0</v>
      </c>
      <c r="D124" s="2" t="s">
        <v>250</v>
      </c>
      <c r="E124" s="2" t="s">
        <v>77</v>
      </c>
      <c r="F124" s="3">
        <v>12.5</v>
      </c>
      <c r="G124" s="3">
        <v>166.0</v>
      </c>
      <c r="H124" s="2" t="s">
        <v>265</v>
      </c>
      <c r="I124" s="2" t="s">
        <v>282</v>
      </c>
      <c r="J124" s="2" t="s">
        <v>283</v>
      </c>
      <c r="K124" s="2">
        <v>3.0</v>
      </c>
      <c r="L124" s="2">
        <v>12.5</v>
      </c>
      <c r="M124" s="2">
        <f t="shared" si="1"/>
        <v>1</v>
      </c>
      <c r="N124" s="2">
        <f t="shared" si="2"/>
        <v>3</v>
      </c>
    </row>
    <row r="125" ht="15.75" customHeight="1">
      <c r="A125" s="2" t="s">
        <v>284</v>
      </c>
      <c r="B125" s="2">
        <v>0.0</v>
      </c>
      <c r="C125" s="2">
        <v>100.0</v>
      </c>
      <c r="D125" s="2" t="s">
        <v>250</v>
      </c>
      <c r="E125" s="2" t="s">
        <v>77</v>
      </c>
      <c r="F125" s="3">
        <v>85.8</v>
      </c>
      <c r="G125" s="3">
        <v>498.0</v>
      </c>
      <c r="H125" s="2" t="s">
        <v>265</v>
      </c>
      <c r="I125" s="2" t="s">
        <v>282</v>
      </c>
      <c r="J125" s="2" t="s">
        <v>283</v>
      </c>
      <c r="K125" s="2">
        <v>3.0</v>
      </c>
      <c r="L125" s="2">
        <v>85.8</v>
      </c>
      <c r="M125" s="2">
        <f t="shared" si="1"/>
        <v>1</v>
      </c>
      <c r="N125" s="2">
        <f t="shared" si="2"/>
        <v>3</v>
      </c>
    </row>
    <row r="126" ht="15.75" customHeight="1">
      <c r="A126" s="2" t="s">
        <v>285</v>
      </c>
      <c r="B126" s="2">
        <v>0.0</v>
      </c>
      <c r="C126" s="2">
        <v>100.0</v>
      </c>
      <c r="D126" s="2" t="s">
        <v>250</v>
      </c>
      <c r="E126" s="2" t="s">
        <v>77</v>
      </c>
      <c r="F126" s="3">
        <v>43.8</v>
      </c>
      <c r="G126" s="3">
        <v>211.0</v>
      </c>
      <c r="H126" s="2" t="s">
        <v>265</v>
      </c>
      <c r="I126" s="2" t="s">
        <v>282</v>
      </c>
      <c r="J126" s="2" t="s">
        <v>283</v>
      </c>
      <c r="K126" s="2">
        <v>3.0</v>
      </c>
      <c r="L126" s="2">
        <v>43.8</v>
      </c>
      <c r="M126" s="2">
        <f t="shared" si="1"/>
        <v>1</v>
      </c>
      <c r="N126" s="2">
        <f t="shared" si="2"/>
        <v>3</v>
      </c>
    </row>
    <row r="127" ht="15.75" customHeight="1">
      <c r="A127" s="2" t="s">
        <v>286</v>
      </c>
      <c r="B127" s="2">
        <v>0.0</v>
      </c>
      <c r="C127" s="2">
        <v>100.0</v>
      </c>
      <c r="D127" s="2" t="s">
        <v>250</v>
      </c>
      <c r="E127" s="2" t="s">
        <v>77</v>
      </c>
      <c r="F127" s="3">
        <v>6.0</v>
      </c>
      <c r="G127" s="3">
        <v>54.7</v>
      </c>
      <c r="H127" s="2" t="s">
        <v>265</v>
      </c>
      <c r="I127" s="2" t="s">
        <v>282</v>
      </c>
      <c r="J127" s="2" t="s">
        <v>283</v>
      </c>
      <c r="K127" s="2">
        <v>3.0</v>
      </c>
      <c r="L127" s="2">
        <v>6.0</v>
      </c>
      <c r="M127" s="2">
        <f t="shared" si="1"/>
        <v>1</v>
      </c>
      <c r="N127" s="2">
        <f t="shared" si="2"/>
        <v>3</v>
      </c>
    </row>
    <row r="128" ht="15.75" customHeight="1">
      <c r="A128" s="2" t="s">
        <v>287</v>
      </c>
      <c r="B128" s="2">
        <v>0.0</v>
      </c>
      <c r="C128" s="2">
        <v>100.0</v>
      </c>
      <c r="D128" s="2" t="s">
        <v>61</v>
      </c>
      <c r="E128" s="2" t="s">
        <v>77</v>
      </c>
      <c r="F128" s="3">
        <v>0.1</v>
      </c>
      <c r="G128" s="3">
        <v>0.9</v>
      </c>
      <c r="H128" s="2" t="s">
        <v>265</v>
      </c>
      <c r="I128" s="2" t="s">
        <v>288</v>
      </c>
      <c r="J128" s="2" t="s">
        <v>289</v>
      </c>
      <c r="K128" s="2">
        <v>3.0</v>
      </c>
      <c r="L128" s="2">
        <v>1.17</v>
      </c>
      <c r="M128" s="2">
        <f t="shared" si="1"/>
        <v>3</v>
      </c>
      <c r="N128" s="2">
        <f t="shared" si="2"/>
        <v>9</v>
      </c>
    </row>
    <row r="129" ht="15.75" customHeight="1">
      <c r="A129" s="2" t="s">
        <v>290</v>
      </c>
      <c r="B129" s="2">
        <v>0.0</v>
      </c>
      <c r="C129" s="2">
        <v>100.0</v>
      </c>
      <c r="D129" s="2" t="s">
        <v>61</v>
      </c>
      <c r="E129" s="2" t="s">
        <v>77</v>
      </c>
      <c r="F129" s="3">
        <v>1.8</v>
      </c>
      <c r="G129" s="3">
        <v>23.9</v>
      </c>
      <c r="H129" s="2" t="s">
        <v>265</v>
      </c>
      <c r="I129" s="2" t="s">
        <v>288</v>
      </c>
      <c r="J129" s="2" t="s">
        <v>289</v>
      </c>
      <c r="K129" s="2">
        <v>3.0</v>
      </c>
      <c r="L129" s="2">
        <v>1.26</v>
      </c>
      <c r="M129" s="2">
        <f t="shared" si="1"/>
        <v>3</v>
      </c>
      <c r="N129" s="2">
        <f t="shared" si="2"/>
        <v>9</v>
      </c>
    </row>
    <row r="130" ht="15.75" customHeight="1">
      <c r="A130" s="2" t="s">
        <v>291</v>
      </c>
      <c r="B130" s="2">
        <v>0.0</v>
      </c>
      <c r="C130" s="2">
        <v>100.0</v>
      </c>
      <c r="D130" s="2" t="s">
        <v>61</v>
      </c>
      <c r="E130" s="2" t="s">
        <v>77</v>
      </c>
      <c r="F130" s="3">
        <v>0.1</v>
      </c>
      <c r="G130" s="3">
        <v>12.0</v>
      </c>
      <c r="H130" s="2" t="s">
        <v>265</v>
      </c>
      <c r="I130" s="2" t="s">
        <v>288</v>
      </c>
      <c r="J130" s="2" t="s">
        <v>289</v>
      </c>
      <c r="K130" s="2">
        <v>3.0</v>
      </c>
      <c r="L130" s="2">
        <v>0.1</v>
      </c>
      <c r="M130" s="2">
        <f t="shared" si="1"/>
        <v>1</v>
      </c>
      <c r="N130" s="2">
        <f t="shared" si="2"/>
        <v>3</v>
      </c>
    </row>
    <row r="131" ht="15.75" customHeight="1">
      <c r="A131" s="2" t="s">
        <v>292</v>
      </c>
      <c r="B131" s="2">
        <v>0.0</v>
      </c>
      <c r="C131" s="2">
        <v>100.0</v>
      </c>
      <c r="D131" s="2" t="s">
        <v>61</v>
      </c>
      <c r="E131" s="2" t="s">
        <v>77</v>
      </c>
      <c r="F131" s="3">
        <v>11.0</v>
      </c>
      <c r="G131" s="3">
        <v>44.3</v>
      </c>
      <c r="H131" s="2" t="s">
        <v>265</v>
      </c>
      <c r="I131" s="2" t="s">
        <v>288</v>
      </c>
      <c r="J131" s="2" t="s">
        <v>289</v>
      </c>
      <c r="K131" s="2">
        <v>3.0</v>
      </c>
      <c r="L131" s="2">
        <v>11.0</v>
      </c>
      <c r="M131" s="2">
        <f t="shared" si="1"/>
        <v>1</v>
      </c>
      <c r="N131" s="2">
        <f t="shared" si="2"/>
        <v>3</v>
      </c>
    </row>
    <row r="132" ht="15.75" customHeight="1">
      <c r="A132" s="2" t="s">
        <v>293</v>
      </c>
      <c r="B132" s="2">
        <v>0.0</v>
      </c>
      <c r="C132" s="2">
        <v>100.0</v>
      </c>
      <c r="D132" s="2" t="s">
        <v>61</v>
      </c>
      <c r="E132" s="2" t="s">
        <v>77</v>
      </c>
      <c r="F132" s="3">
        <v>25.4</v>
      </c>
      <c r="G132" s="3">
        <v>83.3</v>
      </c>
      <c r="H132" s="2" t="s">
        <v>265</v>
      </c>
      <c r="I132" s="2" t="s">
        <v>288</v>
      </c>
      <c r="J132" s="2" t="s">
        <v>289</v>
      </c>
      <c r="K132" s="2">
        <v>3.0</v>
      </c>
      <c r="L132" s="2">
        <v>25.4</v>
      </c>
      <c r="M132" s="2">
        <f t="shared" si="1"/>
        <v>1</v>
      </c>
      <c r="N132" s="2">
        <f t="shared" si="2"/>
        <v>3</v>
      </c>
    </row>
    <row r="133" ht="15.75" customHeight="1">
      <c r="A133" s="2" t="s">
        <v>294</v>
      </c>
      <c r="B133" s="2">
        <v>0.0</v>
      </c>
      <c r="C133" s="2">
        <v>100.0</v>
      </c>
      <c r="D133" s="2" t="s">
        <v>61</v>
      </c>
      <c r="E133" s="2" t="s">
        <v>77</v>
      </c>
      <c r="F133" s="3">
        <v>58.7</v>
      </c>
      <c r="G133" s="3">
        <v>214.0</v>
      </c>
      <c r="H133" s="2" t="s">
        <v>265</v>
      </c>
      <c r="I133" s="2" t="s">
        <v>288</v>
      </c>
      <c r="J133" s="2" t="s">
        <v>289</v>
      </c>
      <c r="K133" s="2">
        <v>3.0</v>
      </c>
      <c r="L133" s="2">
        <v>278.2</v>
      </c>
      <c r="M133" s="2">
        <f t="shared" si="1"/>
        <v>3</v>
      </c>
      <c r="N133" s="2">
        <f t="shared" si="2"/>
        <v>9</v>
      </c>
    </row>
    <row r="134" ht="15.75" customHeight="1">
      <c r="A134" s="2" t="s">
        <v>295</v>
      </c>
      <c r="B134" s="2">
        <v>0.0</v>
      </c>
      <c r="C134" s="2">
        <v>100.0</v>
      </c>
      <c r="D134" s="2" t="s">
        <v>61</v>
      </c>
      <c r="E134" s="2" t="s">
        <v>77</v>
      </c>
      <c r="F134" s="3">
        <v>0.0</v>
      </c>
      <c r="G134" s="3">
        <v>2.1</v>
      </c>
      <c r="H134" s="2" t="s">
        <v>265</v>
      </c>
      <c r="I134" s="2" t="s">
        <v>288</v>
      </c>
      <c r="J134" s="2" t="s">
        <v>289</v>
      </c>
      <c r="K134" s="2">
        <v>3.0</v>
      </c>
      <c r="L134" s="2">
        <v>0.0</v>
      </c>
      <c r="M134" s="2">
        <f t="shared" si="1"/>
        <v>1</v>
      </c>
      <c r="N134" s="2">
        <f t="shared" si="2"/>
        <v>3</v>
      </c>
    </row>
    <row r="135" ht="15.75" customHeight="1">
      <c r="A135" s="2" t="s">
        <v>296</v>
      </c>
      <c r="B135" s="2">
        <v>0.0</v>
      </c>
      <c r="C135" s="2">
        <v>100.0</v>
      </c>
      <c r="D135" s="2" t="s">
        <v>254</v>
      </c>
      <c r="E135" s="2" t="s">
        <v>80</v>
      </c>
      <c r="F135" s="3">
        <v>250.0</v>
      </c>
      <c r="G135" s="3">
        <v>1100.0</v>
      </c>
      <c r="H135" s="2" t="s">
        <v>265</v>
      </c>
      <c r="I135" s="2" t="s">
        <v>297</v>
      </c>
      <c r="J135" s="2" t="s">
        <v>298</v>
      </c>
      <c r="K135" s="2">
        <v>3.0</v>
      </c>
      <c r="L135" s="2">
        <v>250.0</v>
      </c>
      <c r="M135" s="2">
        <f t="shared" si="1"/>
        <v>1</v>
      </c>
      <c r="N135" s="2">
        <f t="shared" si="2"/>
        <v>3</v>
      </c>
    </row>
    <row r="136" ht="15.75" customHeight="1">
      <c r="A136" s="2" t="s">
        <v>299</v>
      </c>
      <c r="B136" s="2">
        <v>0.0</v>
      </c>
      <c r="C136" s="2">
        <v>100.0</v>
      </c>
      <c r="D136" s="2" t="s">
        <v>250</v>
      </c>
      <c r="E136" s="2" t="s">
        <v>80</v>
      </c>
      <c r="F136" s="3">
        <v>35.0</v>
      </c>
      <c r="G136" s="3">
        <v>155.0</v>
      </c>
      <c r="H136" s="2" t="s">
        <v>265</v>
      </c>
      <c r="I136" s="2" t="s">
        <v>297</v>
      </c>
      <c r="J136" s="2" t="s">
        <v>298</v>
      </c>
      <c r="K136" s="2">
        <v>3.0</v>
      </c>
      <c r="L136" s="2">
        <v>24.5</v>
      </c>
      <c r="M136" s="2">
        <f t="shared" si="1"/>
        <v>3</v>
      </c>
      <c r="N136" s="2">
        <f t="shared" si="2"/>
        <v>9</v>
      </c>
    </row>
    <row r="137" ht="15.75" customHeight="1">
      <c r="A137" s="2" t="s">
        <v>296</v>
      </c>
      <c r="B137" s="2">
        <v>0.0</v>
      </c>
      <c r="C137" s="2">
        <v>100.0</v>
      </c>
      <c r="D137" s="2" t="s">
        <v>254</v>
      </c>
      <c r="E137" s="2" t="s">
        <v>77</v>
      </c>
      <c r="F137" s="3">
        <v>2.0</v>
      </c>
      <c r="G137" s="3">
        <v>45.0</v>
      </c>
      <c r="H137" s="2" t="s">
        <v>265</v>
      </c>
      <c r="I137" s="2" t="s">
        <v>300</v>
      </c>
      <c r="J137" s="2" t="s">
        <v>301</v>
      </c>
      <c r="K137" s="2">
        <v>3.0</v>
      </c>
      <c r="L137" s="2">
        <v>2.0</v>
      </c>
      <c r="M137" s="2">
        <f t="shared" si="1"/>
        <v>1</v>
      </c>
      <c r="N137" s="2">
        <f t="shared" si="2"/>
        <v>3</v>
      </c>
    </row>
    <row r="138" ht="15.75" customHeight="1">
      <c r="A138" s="2" t="s">
        <v>299</v>
      </c>
      <c r="B138" s="2">
        <v>0.0</v>
      </c>
      <c r="C138" s="2">
        <v>100.0</v>
      </c>
      <c r="D138" s="2" t="s">
        <v>250</v>
      </c>
      <c r="E138" s="2" t="s">
        <v>77</v>
      </c>
      <c r="F138" s="3">
        <v>0.1</v>
      </c>
      <c r="G138" s="3">
        <v>6.4</v>
      </c>
      <c r="H138" s="2" t="s">
        <v>265</v>
      </c>
      <c r="I138" s="2" t="s">
        <v>300</v>
      </c>
      <c r="J138" s="2" t="s">
        <v>301</v>
      </c>
      <c r="K138" s="2">
        <v>3.0</v>
      </c>
      <c r="L138" s="2">
        <v>8.32</v>
      </c>
      <c r="M138" s="2">
        <f t="shared" si="1"/>
        <v>3</v>
      </c>
      <c r="N138" s="2">
        <f t="shared" si="2"/>
        <v>9</v>
      </c>
    </row>
    <row r="139" ht="15.75" customHeight="1">
      <c r="A139" s="2" t="s">
        <v>302</v>
      </c>
      <c r="B139" s="2">
        <v>0.0</v>
      </c>
      <c r="C139" s="2">
        <v>100.0</v>
      </c>
      <c r="D139" s="2" t="s">
        <v>61</v>
      </c>
      <c r="E139" s="2" t="s">
        <v>80</v>
      </c>
      <c r="F139" s="3">
        <v>0.0</v>
      </c>
      <c r="G139" s="3">
        <v>4.0</v>
      </c>
      <c r="H139" s="2" t="s">
        <v>303</v>
      </c>
      <c r="I139" s="2" t="s">
        <v>304</v>
      </c>
      <c r="J139" s="4" t="s">
        <v>34</v>
      </c>
      <c r="K139" s="2">
        <v>3.0</v>
      </c>
      <c r="L139" s="2">
        <v>3.0</v>
      </c>
      <c r="M139" s="2">
        <f t="shared" si="1"/>
        <v>1</v>
      </c>
      <c r="N139" s="2">
        <f t="shared" si="2"/>
        <v>3</v>
      </c>
    </row>
    <row r="140" ht="15.75" customHeight="1">
      <c r="A140" s="2" t="s">
        <v>305</v>
      </c>
      <c r="B140" s="2">
        <v>0.0</v>
      </c>
      <c r="C140" s="2">
        <v>100.0</v>
      </c>
      <c r="D140" s="2" t="s">
        <v>61</v>
      </c>
      <c r="E140" s="2" t="s">
        <v>80</v>
      </c>
      <c r="F140" s="3">
        <v>0.0</v>
      </c>
      <c r="G140" s="3">
        <v>5.0</v>
      </c>
      <c r="H140" s="2" t="s">
        <v>303</v>
      </c>
      <c r="I140" s="2" t="s">
        <v>306</v>
      </c>
      <c r="J140" s="4" t="s">
        <v>34</v>
      </c>
      <c r="K140" s="2">
        <v>3.0</v>
      </c>
      <c r="L140" s="2">
        <v>2.0</v>
      </c>
      <c r="M140" s="2">
        <f t="shared" si="1"/>
        <v>1</v>
      </c>
      <c r="N140" s="2">
        <f t="shared" si="2"/>
        <v>3</v>
      </c>
    </row>
    <row r="141" ht="15.75" customHeight="1">
      <c r="A141" s="5" t="s">
        <v>307</v>
      </c>
      <c r="B141" s="2">
        <v>0.0</v>
      </c>
      <c r="C141" s="2">
        <v>100.0</v>
      </c>
      <c r="D141" s="2" t="s">
        <v>21</v>
      </c>
      <c r="E141" s="2" t="s">
        <v>80</v>
      </c>
      <c r="F141" s="3">
        <v>25.0</v>
      </c>
      <c r="G141" s="3">
        <v>100.0</v>
      </c>
      <c r="H141" s="2" t="s">
        <v>303</v>
      </c>
      <c r="I141" s="4" t="s">
        <v>34</v>
      </c>
      <c r="J141" s="2" t="s">
        <v>308</v>
      </c>
      <c r="K141" s="2">
        <v>3.0</v>
      </c>
      <c r="L141" s="2">
        <v>25.0</v>
      </c>
      <c r="M141" s="2">
        <f t="shared" si="1"/>
        <v>1</v>
      </c>
      <c r="N141" s="2">
        <f t="shared" si="2"/>
        <v>3</v>
      </c>
    </row>
    <row r="142" ht="15.75" customHeight="1">
      <c r="A142" s="2" t="s">
        <v>309</v>
      </c>
      <c r="B142" s="2">
        <v>18.0</v>
      </c>
      <c r="C142" s="2">
        <v>55.0</v>
      </c>
      <c r="D142" s="2" t="s">
        <v>310</v>
      </c>
      <c r="E142" s="2" t="s">
        <v>80</v>
      </c>
      <c r="F142" s="3">
        <v>10.0</v>
      </c>
      <c r="G142" s="3">
        <v>50.0</v>
      </c>
      <c r="H142" s="2" t="s">
        <v>303</v>
      </c>
      <c r="I142" s="2" t="s">
        <v>311</v>
      </c>
      <c r="J142" s="2" t="s">
        <v>312</v>
      </c>
      <c r="K142" s="2">
        <v>3.0</v>
      </c>
      <c r="L142" s="2">
        <v>10.0</v>
      </c>
      <c r="M142" s="2">
        <f t="shared" si="1"/>
        <v>1</v>
      </c>
      <c r="N142" s="2">
        <f t="shared" si="2"/>
        <v>3</v>
      </c>
    </row>
    <row r="143" ht="15.75" customHeight="1">
      <c r="A143" s="2" t="s">
        <v>309</v>
      </c>
      <c r="B143" s="2">
        <v>18.0</v>
      </c>
      <c r="C143" s="2">
        <v>55.0</v>
      </c>
      <c r="D143" s="2" t="s">
        <v>310</v>
      </c>
      <c r="E143" s="2" t="s">
        <v>77</v>
      </c>
      <c r="F143" s="3">
        <v>17.0</v>
      </c>
      <c r="G143" s="3">
        <v>124.0</v>
      </c>
      <c r="H143" s="2" t="s">
        <v>303</v>
      </c>
      <c r="I143" s="2" t="s">
        <v>313</v>
      </c>
      <c r="J143" s="2" t="s">
        <v>312</v>
      </c>
      <c r="K143" s="2">
        <v>3.0</v>
      </c>
      <c r="L143" s="2">
        <v>11.9</v>
      </c>
      <c r="M143" s="2">
        <f t="shared" si="1"/>
        <v>3</v>
      </c>
      <c r="N143" s="2">
        <f t="shared" si="2"/>
        <v>9</v>
      </c>
    </row>
    <row r="144" ht="15.75" customHeight="1">
      <c r="A144" s="2" t="s">
        <v>309</v>
      </c>
      <c r="B144" s="2">
        <v>56.0</v>
      </c>
      <c r="C144" s="2">
        <v>100.0</v>
      </c>
      <c r="D144" s="2" t="s">
        <v>310</v>
      </c>
      <c r="E144" s="2" t="s">
        <v>80</v>
      </c>
      <c r="F144" s="3">
        <v>22.0</v>
      </c>
      <c r="G144" s="3">
        <v>77.0</v>
      </c>
      <c r="H144" s="2" t="s">
        <v>303</v>
      </c>
      <c r="I144" s="2" t="s">
        <v>311</v>
      </c>
      <c r="J144" s="2" t="s">
        <v>312</v>
      </c>
      <c r="K144" s="2">
        <v>3.0</v>
      </c>
      <c r="L144" s="2">
        <v>22.0</v>
      </c>
      <c r="M144" s="2">
        <f t="shared" si="1"/>
        <v>1</v>
      </c>
      <c r="N144" s="2">
        <f t="shared" si="2"/>
        <v>3</v>
      </c>
    </row>
    <row r="145" ht="15.75" customHeight="1">
      <c r="A145" s="2" t="s">
        <v>314</v>
      </c>
      <c r="B145" s="2">
        <v>0.0</v>
      </c>
      <c r="C145" s="2">
        <v>100.0</v>
      </c>
      <c r="D145" s="2" t="s">
        <v>61</v>
      </c>
      <c r="E145" s="2" t="s">
        <v>16</v>
      </c>
      <c r="F145" s="3">
        <v>32.0</v>
      </c>
      <c r="G145" s="3">
        <v>100.0</v>
      </c>
      <c r="H145" s="2" t="s">
        <v>303</v>
      </c>
      <c r="I145" s="2" t="s">
        <v>315</v>
      </c>
      <c r="J145" s="2" t="s">
        <v>316</v>
      </c>
      <c r="K145" s="2">
        <v>3.0</v>
      </c>
      <c r="L145" s="2">
        <v>32.0</v>
      </c>
      <c r="M145" s="2">
        <f t="shared" si="1"/>
        <v>1</v>
      </c>
      <c r="N145" s="2">
        <f t="shared" si="2"/>
        <v>3</v>
      </c>
    </row>
    <row r="146" ht="15.75" customHeight="1">
      <c r="A146" s="2" t="s">
        <v>317</v>
      </c>
      <c r="B146" s="2">
        <v>0.0</v>
      </c>
      <c r="C146" s="2">
        <v>100.0</v>
      </c>
      <c r="D146" s="2" t="s">
        <v>250</v>
      </c>
      <c r="E146" s="2" t="s">
        <v>16</v>
      </c>
      <c r="F146" s="3">
        <v>10.0</v>
      </c>
      <c r="G146" s="3">
        <v>75.0</v>
      </c>
      <c r="H146" s="2" t="s">
        <v>303</v>
      </c>
      <c r="I146" s="2" t="s">
        <v>315</v>
      </c>
      <c r="J146" s="2" t="s">
        <v>316</v>
      </c>
      <c r="K146" s="2">
        <v>3.0</v>
      </c>
      <c r="L146" s="2">
        <v>10.0</v>
      </c>
      <c r="M146" s="2">
        <f t="shared" si="1"/>
        <v>1</v>
      </c>
      <c r="N146" s="2">
        <f t="shared" si="2"/>
        <v>3</v>
      </c>
    </row>
    <row r="147" ht="15.75" customHeight="1">
      <c r="F147" s="3"/>
      <c r="G147" s="3"/>
    </row>
    <row r="148" ht="15.75" customHeight="1">
      <c r="F148" s="3"/>
      <c r="G148" s="3"/>
    </row>
    <row r="149" ht="15.75" customHeight="1">
      <c r="F149" s="3"/>
      <c r="G149" s="3"/>
    </row>
    <row r="150" ht="15.75" customHeight="1">
      <c r="F150" s="3"/>
      <c r="G150" s="3"/>
    </row>
    <row r="151" ht="15.75" customHeight="1">
      <c r="F151" s="3"/>
      <c r="G151" s="3"/>
    </row>
    <row r="152" ht="15.75" customHeight="1">
      <c r="F152" s="3"/>
      <c r="G152" s="3"/>
    </row>
    <row r="153" ht="15.75" customHeight="1">
      <c r="F153" s="3"/>
      <c r="G153" s="3"/>
    </row>
    <row r="154" ht="15.75" customHeight="1">
      <c r="F154" s="3"/>
      <c r="G154" s="3"/>
    </row>
    <row r="155" ht="15.75" customHeight="1">
      <c r="F155" s="3"/>
      <c r="G155" s="3"/>
    </row>
    <row r="156" ht="15.75" customHeight="1">
      <c r="F156" s="3"/>
      <c r="G156" s="3"/>
    </row>
    <row r="157" ht="15.75" customHeight="1">
      <c r="F157" s="3"/>
      <c r="G157" s="3"/>
    </row>
    <row r="158" ht="15.75" customHeight="1">
      <c r="F158" s="3"/>
      <c r="G158" s="3"/>
    </row>
    <row r="159" ht="15.75" customHeight="1">
      <c r="F159" s="3"/>
      <c r="G159" s="3"/>
    </row>
    <row r="160" ht="15.75" customHeight="1">
      <c r="F160" s="3"/>
      <c r="G160" s="3"/>
    </row>
    <row r="161" ht="15.75" customHeight="1">
      <c r="F161" s="3"/>
      <c r="G161" s="3"/>
    </row>
    <row r="162" ht="15.75" customHeight="1">
      <c r="F162" s="3"/>
      <c r="G162" s="3"/>
    </row>
    <row r="163" ht="15.75" customHeight="1">
      <c r="F163" s="3"/>
      <c r="G163" s="3"/>
    </row>
    <row r="164" ht="15.75" customHeight="1">
      <c r="F164" s="3"/>
      <c r="G164" s="3"/>
    </row>
    <row r="165" ht="15.75" customHeight="1">
      <c r="F165" s="3"/>
      <c r="G165" s="3"/>
    </row>
    <row r="166" ht="15.75" customHeight="1">
      <c r="F166" s="3"/>
      <c r="G166" s="3"/>
    </row>
    <row r="167" ht="15.75" customHeight="1">
      <c r="F167" s="3"/>
      <c r="G167" s="3"/>
    </row>
    <row r="168" ht="15.75" customHeight="1">
      <c r="F168" s="3"/>
      <c r="G168" s="3"/>
    </row>
    <row r="169" ht="15.75" customHeight="1">
      <c r="F169" s="3"/>
      <c r="G169" s="3"/>
    </row>
    <row r="170" ht="15.75" customHeight="1">
      <c r="F170" s="3"/>
      <c r="G170" s="3"/>
    </row>
    <row r="171" ht="15.75" customHeight="1">
      <c r="F171" s="3"/>
      <c r="G171" s="3"/>
    </row>
    <row r="172" ht="15.75" customHeight="1">
      <c r="F172" s="3"/>
      <c r="G172" s="3"/>
    </row>
    <row r="173" ht="15.75" customHeight="1">
      <c r="F173" s="3"/>
      <c r="G173" s="3"/>
    </row>
    <row r="174" ht="15.75" customHeight="1">
      <c r="F174" s="3"/>
      <c r="G174" s="3"/>
    </row>
    <row r="175" ht="15.75" customHeight="1">
      <c r="F175" s="3"/>
      <c r="G175" s="3"/>
    </row>
    <row r="176" ht="15.75" customHeight="1">
      <c r="F176" s="3"/>
      <c r="G176" s="3"/>
    </row>
    <row r="177" ht="15.75" customHeight="1">
      <c r="F177" s="3"/>
      <c r="G177" s="3"/>
    </row>
    <row r="178" ht="15.75" customHeight="1">
      <c r="F178" s="3"/>
      <c r="G178" s="3"/>
    </row>
    <row r="179" ht="15.75" customHeight="1">
      <c r="F179" s="3"/>
      <c r="G179" s="3"/>
    </row>
    <row r="180" ht="15.75" customHeight="1">
      <c r="F180" s="3"/>
      <c r="G180" s="3"/>
    </row>
    <row r="181" ht="15.75" customHeight="1">
      <c r="F181" s="3"/>
      <c r="G181" s="3"/>
    </row>
    <row r="182" ht="15.75" customHeight="1">
      <c r="F182" s="3"/>
      <c r="G182" s="3"/>
    </row>
    <row r="183" ht="15.75" customHeight="1">
      <c r="F183" s="3"/>
      <c r="G183" s="3"/>
    </row>
    <row r="184" ht="15.75" customHeight="1">
      <c r="F184" s="3"/>
      <c r="G184" s="3"/>
    </row>
    <row r="185" ht="15.75" customHeight="1">
      <c r="F185" s="3"/>
      <c r="G185" s="3"/>
    </row>
    <row r="186" ht="15.75" customHeight="1">
      <c r="F186" s="3"/>
      <c r="G186" s="3"/>
    </row>
    <row r="187" ht="15.75" customHeight="1">
      <c r="F187" s="3"/>
      <c r="G187" s="3"/>
    </row>
    <row r="188" ht="15.75" customHeight="1">
      <c r="F188" s="3"/>
      <c r="G188" s="3"/>
    </row>
    <row r="189" ht="15.75" customHeight="1">
      <c r="F189" s="3"/>
      <c r="G189" s="3"/>
    </row>
    <row r="190" ht="15.75" customHeight="1">
      <c r="F190" s="3"/>
      <c r="G190" s="3"/>
    </row>
    <row r="191" ht="15.75" customHeight="1">
      <c r="F191" s="3"/>
      <c r="G191" s="3"/>
    </row>
    <row r="192" ht="15.75" customHeight="1">
      <c r="F192" s="3"/>
      <c r="G192" s="3"/>
    </row>
    <row r="193" ht="15.75" customHeight="1">
      <c r="F193" s="3"/>
      <c r="G193" s="3"/>
    </row>
    <row r="194" ht="15.75" customHeight="1">
      <c r="F194" s="3"/>
      <c r="G194" s="3"/>
    </row>
    <row r="195" ht="15.75" customHeight="1">
      <c r="F195" s="3"/>
      <c r="G195" s="3"/>
    </row>
    <row r="196" ht="15.75" customHeight="1">
      <c r="F196" s="3"/>
      <c r="G196" s="3"/>
    </row>
    <row r="197" ht="15.75" customHeight="1">
      <c r="F197" s="3"/>
      <c r="G197" s="3"/>
    </row>
    <row r="198" ht="15.75" customHeight="1">
      <c r="F198" s="3"/>
      <c r="G198" s="3"/>
    </row>
    <row r="199" ht="15.75" customHeight="1">
      <c r="F199" s="3"/>
      <c r="G199" s="3"/>
    </row>
    <row r="200" ht="15.75" customHeight="1">
      <c r="F200" s="3"/>
      <c r="G200" s="3"/>
    </row>
    <row r="201" ht="15.75" customHeight="1">
      <c r="F201" s="3"/>
      <c r="G201" s="3"/>
    </row>
    <row r="202" ht="15.75" customHeight="1">
      <c r="F202" s="3"/>
      <c r="G202" s="3"/>
    </row>
    <row r="203" ht="15.75" customHeight="1">
      <c r="F203" s="3"/>
      <c r="G203" s="3"/>
    </row>
    <row r="204" ht="15.75" customHeight="1">
      <c r="F204" s="3"/>
      <c r="G204" s="3"/>
    </row>
    <row r="205" ht="15.75" customHeight="1">
      <c r="F205" s="3"/>
      <c r="G205" s="3"/>
    </row>
    <row r="206" ht="15.75" customHeight="1">
      <c r="F206" s="3"/>
      <c r="G206" s="3"/>
    </row>
    <row r="207" ht="15.75" customHeight="1">
      <c r="F207" s="3"/>
      <c r="G207" s="3"/>
    </row>
    <row r="208" ht="15.75" customHeight="1">
      <c r="F208" s="3"/>
      <c r="G208" s="3"/>
    </row>
    <row r="209" ht="15.75" customHeight="1">
      <c r="F209" s="3"/>
      <c r="G209" s="3"/>
    </row>
    <row r="210" ht="15.75" customHeight="1">
      <c r="F210" s="3"/>
      <c r="G210" s="3"/>
    </row>
    <row r="211" ht="15.75" customHeight="1">
      <c r="F211" s="3"/>
      <c r="G211" s="3"/>
    </row>
    <row r="212" ht="15.75" customHeight="1">
      <c r="F212" s="3"/>
      <c r="G212" s="3"/>
    </row>
    <row r="213" ht="15.75" customHeight="1">
      <c r="F213" s="3"/>
      <c r="G213" s="3"/>
    </row>
    <row r="214" ht="15.75" customHeight="1">
      <c r="F214" s="3"/>
      <c r="G214" s="3"/>
    </row>
    <row r="215" ht="15.75" customHeight="1">
      <c r="F215" s="3"/>
      <c r="G215" s="3"/>
    </row>
    <row r="216" ht="15.75" customHeight="1">
      <c r="F216" s="3"/>
      <c r="G216" s="3"/>
    </row>
    <row r="217" ht="15.75" customHeight="1">
      <c r="F217" s="3"/>
      <c r="G217" s="3"/>
    </row>
    <row r="218" ht="15.75" customHeight="1">
      <c r="F218" s="3"/>
      <c r="G218" s="3"/>
    </row>
    <row r="219" ht="15.75" customHeight="1">
      <c r="F219" s="3"/>
      <c r="G219" s="3"/>
    </row>
    <row r="220" ht="15.75" customHeight="1">
      <c r="F220" s="3"/>
      <c r="G220" s="3"/>
    </row>
    <row r="221" ht="15.75" customHeight="1">
      <c r="F221" s="3"/>
      <c r="G221" s="3"/>
    </row>
    <row r="222" ht="15.75" customHeight="1">
      <c r="F222" s="3"/>
      <c r="G222" s="3"/>
    </row>
    <row r="223" ht="15.75" customHeight="1">
      <c r="F223" s="3"/>
      <c r="G223" s="3"/>
    </row>
    <row r="224" ht="15.75" customHeight="1">
      <c r="F224" s="3"/>
      <c r="G224" s="3"/>
    </row>
    <row r="225" ht="15.75" customHeight="1">
      <c r="F225" s="3"/>
      <c r="G225" s="3"/>
    </row>
    <row r="226" ht="15.75" customHeight="1">
      <c r="F226" s="3"/>
      <c r="G226" s="3"/>
    </row>
    <row r="227" ht="15.75" customHeight="1">
      <c r="F227" s="3"/>
      <c r="G227" s="3"/>
    </row>
    <row r="228" ht="15.75" customHeight="1">
      <c r="F228" s="3"/>
      <c r="G228" s="3"/>
    </row>
    <row r="229" ht="15.75" customHeight="1">
      <c r="F229" s="3"/>
      <c r="G229" s="3"/>
    </row>
    <row r="230" ht="15.75" customHeight="1">
      <c r="F230" s="3"/>
      <c r="G230" s="3"/>
    </row>
    <row r="231" ht="15.75" customHeight="1">
      <c r="F231" s="3"/>
      <c r="G231" s="3"/>
    </row>
    <row r="232" ht="15.75" customHeight="1">
      <c r="F232" s="3"/>
      <c r="G232" s="3"/>
    </row>
    <row r="233" ht="15.75" customHeight="1">
      <c r="F233" s="3"/>
      <c r="G233" s="3"/>
    </row>
    <row r="234" ht="15.75" customHeight="1">
      <c r="F234" s="3"/>
      <c r="G234" s="3"/>
    </row>
    <row r="235" ht="15.75" customHeight="1">
      <c r="F235" s="3"/>
      <c r="G235" s="3"/>
    </row>
    <row r="236" ht="15.75" customHeight="1">
      <c r="F236" s="3"/>
      <c r="G236" s="3"/>
    </row>
    <row r="237" ht="15.75" customHeight="1">
      <c r="F237" s="3"/>
      <c r="G237" s="3"/>
    </row>
    <row r="238" ht="15.75" customHeight="1">
      <c r="F238" s="3"/>
      <c r="G238" s="3"/>
    </row>
    <row r="239" ht="15.75" customHeight="1">
      <c r="F239" s="3"/>
      <c r="G239" s="3"/>
    </row>
    <row r="240" ht="15.75" customHeight="1">
      <c r="F240" s="3"/>
      <c r="G240" s="3"/>
    </row>
    <row r="241" ht="15.75" customHeight="1">
      <c r="F241" s="3"/>
      <c r="G241" s="3"/>
    </row>
    <row r="242" ht="15.75" customHeight="1">
      <c r="F242" s="3"/>
      <c r="G242" s="3"/>
    </row>
    <row r="243" ht="15.75" customHeight="1">
      <c r="F243" s="3"/>
      <c r="G243" s="3"/>
    </row>
    <row r="244" ht="15.75" customHeight="1">
      <c r="F244" s="3"/>
      <c r="G244" s="3"/>
    </row>
    <row r="245" ht="15.75" customHeight="1">
      <c r="F245" s="3"/>
      <c r="G245" s="3"/>
    </row>
    <row r="246" ht="15.75" customHeight="1">
      <c r="F246" s="3"/>
      <c r="G246" s="3"/>
    </row>
    <row r="247" ht="15.75" customHeight="1">
      <c r="F247" s="3"/>
      <c r="G247" s="3"/>
    </row>
    <row r="248" ht="15.75" customHeight="1">
      <c r="F248" s="3"/>
      <c r="G248" s="3"/>
    </row>
    <row r="249" ht="15.75" customHeight="1">
      <c r="F249" s="3"/>
      <c r="G249" s="3"/>
    </row>
    <row r="250" ht="15.75" customHeight="1">
      <c r="F250" s="3"/>
      <c r="G250" s="3"/>
    </row>
    <row r="251" ht="15.75" customHeight="1">
      <c r="F251" s="3"/>
      <c r="G251" s="3"/>
    </row>
    <row r="252" ht="15.75" customHeight="1">
      <c r="F252" s="3"/>
      <c r="G252" s="3"/>
    </row>
    <row r="253" ht="15.75" customHeight="1">
      <c r="F253" s="3"/>
      <c r="G253" s="3"/>
    </row>
    <row r="254" ht="15.75" customHeight="1">
      <c r="F254" s="3"/>
      <c r="G254" s="3"/>
    </row>
    <row r="255" ht="15.75" customHeight="1">
      <c r="F255" s="3"/>
      <c r="G255" s="3"/>
    </row>
    <row r="256" ht="15.75" customHeight="1">
      <c r="F256" s="3"/>
      <c r="G256" s="3"/>
    </row>
    <row r="257" ht="15.75" customHeight="1">
      <c r="F257" s="3"/>
      <c r="G257" s="3"/>
    </row>
    <row r="258" ht="15.75" customHeight="1">
      <c r="F258" s="3"/>
      <c r="G258" s="3"/>
    </row>
    <row r="259" ht="15.75" customHeight="1">
      <c r="F259" s="3"/>
      <c r="G259" s="3"/>
    </row>
    <row r="260" ht="15.75" customHeight="1">
      <c r="F260" s="3"/>
      <c r="G260" s="3"/>
    </row>
    <row r="261" ht="15.75" customHeight="1">
      <c r="F261" s="3"/>
      <c r="G261" s="3"/>
    </row>
    <row r="262" ht="15.75" customHeight="1">
      <c r="F262" s="3"/>
      <c r="G262" s="3"/>
    </row>
    <row r="263" ht="15.75" customHeight="1">
      <c r="F263" s="3"/>
      <c r="G263" s="3"/>
    </row>
    <row r="264" ht="15.75" customHeight="1">
      <c r="F264" s="3"/>
      <c r="G264" s="3"/>
    </row>
    <row r="265" ht="15.75" customHeight="1">
      <c r="F265" s="3"/>
      <c r="G265" s="3"/>
    </row>
    <row r="266" ht="15.75" customHeight="1">
      <c r="F266" s="3"/>
      <c r="G266" s="3"/>
    </row>
    <row r="267" ht="15.75" customHeight="1">
      <c r="F267" s="3"/>
      <c r="G267" s="3"/>
    </row>
    <row r="268" ht="15.75" customHeight="1">
      <c r="F268" s="3"/>
      <c r="G268" s="3"/>
    </row>
    <row r="269" ht="15.75" customHeight="1">
      <c r="F269" s="3"/>
      <c r="G269" s="3"/>
    </row>
    <row r="270" ht="15.75" customHeight="1">
      <c r="F270" s="3"/>
      <c r="G270" s="3"/>
    </row>
    <row r="271" ht="15.75" customHeight="1">
      <c r="F271" s="3"/>
      <c r="G271" s="3"/>
    </row>
    <row r="272" ht="15.75" customHeight="1">
      <c r="F272" s="3"/>
      <c r="G272" s="3"/>
    </row>
    <row r="273" ht="15.75" customHeight="1">
      <c r="F273" s="3"/>
      <c r="G273" s="3"/>
    </row>
    <row r="274" ht="15.75" customHeight="1">
      <c r="F274" s="3"/>
      <c r="G274" s="3"/>
    </row>
    <row r="275" ht="15.75" customHeight="1">
      <c r="F275" s="3"/>
      <c r="G275" s="3"/>
    </row>
    <row r="276" ht="15.75" customHeight="1">
      <c r="F276" s="3"/>
      <c r="G276" s="3"/>
    </row>
    <row r="277" ht="15.75" customHeight="1">
      <c r="F277" s="3"/>
      <c r="G277" s="3"/>
    </row>
    <row r="278" ht="15.75" customHeight="1">
      <c r="F278" s="3"/>
      <c r="G278" s="3"/>
    </row>
    <row r="279" ht="15.75" customHeight="1">
      <c r="F279" s="3"/>
      <c r="G279" s="3"/>
    </row>
    <row r="280" ht="15.75" customHeight="1">
      <c r="F280" s="3"/>
      <c r="G280" s="3"/>
    </row>
    <row r="281" ht="15.75" customHeight="1">
      <c r="F281" s="3"/>
      <c r="G281" s="3"/>
    </row>
    <row r="282" ht="15.75" customHeight="1">
      <c r="F282" s="3"/>
      <c r="G282" s="3"/>
    </row>
    <row r="283" ht="15.75" customHeight="1">
      <c r="F283" s="3"/>
      <c r="G283" s="3"/>
    </row>
    <row r="284" ht="15.75" customHeight="1">
      <c r="F284" s="3"/>
      <c r="G284" s="3"/>
    </row>
    <row r="285" ht="15.75" customHeight="1">
      <c r="F285" s="3"/>
      <c r="G285" s="3"/>
    </row>
    <row r="286" ht="15.75" customHeight="1">
      <c r="F286" s="3"/>
      <c r="G286" s="3"/>
    </row>
    <row r="287" ht="15.75" customHeight="1">
      <c r="F287" s="3"/>
      <c r="G287" s="3"/>
    </row>
    <row r="288" ht="15.75" customHeight="1">
      <c r="F288" s="3"/>
      <c r="G288" s="3"/>
    </row>
    <row r="289" ht="15.75" customHeight="1">
      <c r="F289" s="3"/>
      <c r="G289" s="3"/>
    </row>
    <row r="290" ht="15.75" customHeight="1">
      <c r="F290" s="3"/>
      <c r="G290" s="3"/>
    </row>
    <row r="291" ht="15.75" customHeight="1">
      <c r="F291" s="3"/>
      <c r="G291" s="3"/>
    </row>
    <row r="292" ht="15.75" customHeight="1">
      <c r="F292" s="3"/>
      <c r="G292" s="3"/>
    </row>
    <row r="293" ht="15.75" customHeight="1">
      <c r="F293" s="3"/>
      <c r="G293" s="3"/>
    </row>
    <row r="294" ht="15.75" customHeight="1">
      <c r="F294" s="3"/>
      <c r="G294" s="3"/>
    </row>
    <row r="295" ht="15.75" customHeight="1">
      <c r="F295" s="3"/>
      <c r="G295" s="3"/>
    </row>
    <row r="296" ht="15.75" customHeight="1">
      <c r="F296" s="3"/>
      <c r="G296" s="3"/>
    </row>
    <row r="297" ht="15.75" customHeight="1">
      <c r="F297" s="3"/>
      <c r="G297" s="3"/>
    </row>
    <row r="298" ht="15.75" customHeight="1">
      <c r="F298" s="3"/>
      <c r="G298" s="3"/>
    </row>
    <row r="299" ht="15.75" customHeight="1">
      <c r="F299" s="3"/>
      <c r="G299" s="3"/>
    </row>
    <row r="300" ht="15.75" customHeight="1">
      <c r="F300" s="3"/>
      <c r="G300" s="3"/>
    </row>
    <row r="301" ht="15.75" customHeight="1">
      <c r="F301" s="3"/>
      <c r="G301" s="3"/>
    </row>
    <row r="302" ht="15.75" customHeight="1">
      <c r="F302" s="3"/>
      <c r="G302" s="3"/>
    </row>
    <row r="303" ht="15.75" customHeight="1">
      <c r="F303" s="3"/>
      <c r="G303" s="3"/>
    </row>
    <row r="304" ht="15.75" customHeight="1">
      <c r="F304" s="3"/>
      <c r="G304" s="3"/>
    </row>
    <row r="305" ht="15.75" customHeight="1">
      <c r="F305" s="3"/>
      <c r="G305" s="3"/>
    </row>
    <row r="306" ht="15.75" customHeight="1">
      <c r="F306" s="3"/>
      <c r="G306" s="3"/>
    </row>
    <row r="307" ht="15.75" customHeight="1">
      <c r="F307" s="3"/>
      <c r="G307" s="3"/>
    </row>
    <row r="308" ht="15.75" customHeight="1">
      <c r="F308" s="3"/>
      <c r="G308" s="3"/>
    </row>
    <row r="309" ht="15.75" customHeight="1">
      <c r="F309" s="3"/>
      <c r="G309" s="3"/>
    </row>
    <row r="310" ht="15.75" customHeight="1">
      <c r="F310" s="3"/>
      <c r="G310" s="3"/>
    </row>
    <row r="311" ht="15.75" customHeight="1">
      <c r="F311" s="3"/>
      <c r="G311" s="3"/>
    </row>
    <row r="312" ht="15.75" customHeight="1">
      <c r="F312" s="3"/>
      <c r="G312" s="3"/>
    </row>
    <row r="313" ht="15.75" customHeight="1">
      <c r="F313" s="3"/>
      <c r="G313" s="3"/>
    </row>
    <row r="314" ht="15.75" customHeight="1">
      <c r="F314" s="3"/>
      <c r="G314" s="3"/>
    </row>
    <row r="315" ht="15.75" customHeight="1">
      <c r="F315" s="3"/>
      <c r="G315" s="3"/>
    </row>
    <row r="316" ht="15.75" customHeight="1">
      <c r="F316" s="3"/>
      <c r="G316" s="3"/>
    </row>
    <row r="317" ht="15.75" customHeight="1">
      <c r="F317" s="3"/>
      <c r="G317" s="3"/>
    </row>
    <row r="318" ht="15.75" customHeight="1">
      <c r="F318" s="3"/>
      <c r="G318" s="3"/>
    </row>
    <row r="319" ht="15.75" customHeight="1">
      <c r="F319" s="3"/>
      <c r="G319" s="3"/>
    </row>
    <row r="320" ht="15.75" customHeight="1">
      <c r="F320" s="3"/>
      <c r="G320" s="3"/>
    </row>
    <row r="321" ht="15.75" customHeight="1">
      <c r="F321" s="3"/>
      <c r="G321" s="3"/>
    </row>
    <row r="322" ht="15.75" customHeight="1">
      <c r="F322" s="3"/>
      <c r="G322" s="3"/>
    </row>
    <row r="323" ht="15.75" customHeight="1">
      <c r="F323" s="3"/>
      <c r="G323" s="3"/>
    </row>
    <row r="324" ht="15.75" customHeight="1">
      <c r="F324" s="3"/>
      <c r="G324" s="3"/>
    </row>
    <row r="325" ht="15.75" customHeight="1">
      <c r="F325" s="3"/>
      <c r="G325" s="3"/>
    </row>
    <row r="326" ht="15.75" customHeight="1">
      <c r="F326" s="3"/>
      <c r="G326" s="3"/>
    </row>
    <row r="327" ht="15.75" customHeight="1">
      <c r="F327" s="3"/>
      <c r="G327" s="3"/>
    </row>
    <row r="328" ht="15.75" customHeight="1">
      <c r="F328" s="3"/>
      <c r="G328" s="3"/>
    </row>
    <row r="329" ht="15.75" customHeight="1">
      <c r="F329" s="3"/>
      <c r="G329" s="3"/>
    </row>
    <row r="330" ht="15.75" customHeight="1">
      <c r="F330" s="3"/>
      <c r="G330" s="3"/>
    </row>
    <row r="331" ht="15.75" customHeight="1">
      <c r="F331" s="3"/>
      <c r="G331" s="3"/>
    </row>
    <row r="332" ht="15.75" customHeight="1">
      <c r="F332" s="3"/>
      <c r="G332" s="3"/>
    </row>
    <row r="333" ht="15.75" customHeight="1">
      <c r="F333" s="3"/>
      <c r="G333" s="3"/>
    </row>
    <row r="334" ht="15.75" customHeight="1">
      <c r="F334" s="3"/>
      <c r="G334" s="3"/>
    </row>
    <row r="335" ht="15.75" customHeight="1">
      <c r="F335" s="3"/>
      <c r="G335" s="3"/>
    </row>
    <row r="336" ht="15.75" customHeight="1">
      <c r="F336" s="3"/>
      <c r="G336" s="3"/>
    </row>
    <row r="337" ht="15.75" customHeight="1">
      <c r="F337" s="3"/>
      <c r="G337" s="3"/>
    </row>
    <row r="338" ht="15.75" customHeight="1">
      <c r="F338" s="3"/>
      <c r="G338" s="3"/>
    </row>
    <row r="339" ht="15.75" customHeight="1">
      <c r="F339" s="3"/>
      <c r="G339" s="3"/>
    </row>
    <row r="340" ht="15.75" customHeight="1">
      <c r="F340" s="3"/>
      <c r="G340" s="3"/>
    </row>
    <row r="341" ht="15.75" customHeight="1">
      <c r="F341" s="3"/>
      <c r="G341" s="3"/>
    </row>
    <row r="342" ht="15.75" customHeight="1">
      <c r="F342" s="3"/>
      <c r="G342" s="3"/>
    </row>
    <row r="343" ht="15.75" customHeight="1">
      <c r="F343" s="3"/>
      <c r="G343" s="3"/>
    </row>
    <row r="344" ht="15.75" customHeight="1">
      <c r="F344" s="3"/>
      <c r="G344" s="3"/>
    </row>
    <row r="345" ht="15.75" customHeight="1">
      <c r="F345" s="3"/>
      <c r="G345" s="3"/>
    </row>
    <row r="346" ht="15.75" customHeight="1">
      <c r="F346" s="3"/>
      <c r="G346" s="3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